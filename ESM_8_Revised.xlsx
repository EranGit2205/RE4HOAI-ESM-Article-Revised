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ran Sadovski\Dropbox\Doctorat2\Article 3 - Human oversight\Supplementary\"/>
    </mc:Choice>
  </mc:AlternateContent>
  <xr:revisionPtr revIDLastSave="0" documentId="13_ncr:1_{4331FA11-0B5D-45F1-8210-61DE76761A6D}" xr6:coauthVersionLast="47" xr6:coauthVersionMax="47" xr10:uidLastSave="{00000000-0000-0000-0000-000000000000}"/>
  <bookViews>
    <workbookView xWindow="47610" yWindow="1455" windowWidth="27225" windowHeight="12975" firstSheet="2" activeTab="6" xr2:uid="{00000000-000D-0000-FFFF-FFFF00000000}"/>
  </bookViews>
  <sheets>
    <sheet name="Readme" sheetId="7" r:id="rId1"/>
    <sheet name="Participants responses" sheetId="1" r:id="rId2"/>
    <sheet name="Risk profile" sheetId="2" r:id="rId3"/>
    <sheet name="Roles" sheetId="4" r:id="rId4"/>
    <sheet name="Familiarity" sheetId="3" r:id="rId5"/>
    <sheet name="Age Spearman detailed" sheetId="8" r:id="rId6"/>
    <sheet name="Pairwise Bonferroni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2" i="1" l="1"/>
  <c r="S72" i="1"/>
  <c r="R72" i="1"/>
  <c r="Q72" i="1"/>
  <c r="P72" i="1"/>
  <c r="O72" i="1"/>
  <c r="N72" i="1"/>
  <c r="M72" i="1"/>
  <c r="L72" i="1"/>
  <c r="K72" i="1"/>
  <c r="J72" i="1"/>
  <c r="T71" i="1"/>
  <c r="S71" i="1"/>
  <c r="R71" i="1"/>
  <c r="Q71" i="1"/>
  <c r="P71" i="1"/>
  <c r="O71" i="1"/>
  <c r="N71" i="1"/>
  <c r="M71" i="1"/>
  <c r="L71" i="1"/>
  <c r="K71" i="1"/>
  <c r="J71" i="1"/>
  <c r="T70" i="1"/>
  <c r="S70" i="1"/>
  <c r="R70" i="1"/>
  <c r="Q70" i="1"/>
  <c r="P70" i="1"/>
  <c r="O70" i="1"/>
  <c r="N70" i="1"/>
  <c r="M70" i="1"/>
  <c r="L70" i="1"/>
  <c r="K70" i="1"/>
  <c r="J70" i="1"/>
  <c r="T69" i="1"/>
  <c r="S69" i="1"/>
  <c r="R69" i="1"/>
  <c r="Q69" i="1"/>
  <c r="P69" i="1"/>
  <c r="O69" i="1"/>
  <c r="N69" i="1"/>
  <c r="M69" i="1"/>
  <c r="L69" i="1"/>
  <c r="K69" i="1"/>
  <c r="J69" i="1"/>
  <c r="T68" i="1"/>
  <c r="S68" i="1"/>
  <c r="R68" i="1"/>
  <c r="Q68" i="1"/>
  <c r="P68" i="1"/>
  <c r="O68" i="1"/>
  <c r="N68" i="1"/>
  <c r="M68" i="1"/>
  <c r="L68" i="1"/>
  <c r="K68" i="1"/>
  <c r="J68" i="1"/>
  <c r="T65" i="1"/>
  <c r="S65" i="1"/>
  <c r="R65" i="1"/>
  <c r="Q65" i="1"/>
  <c r="P65" i="1"/>
  <c r="O65" i="1"/>
  <c r="N65" i="1"/>
  <c r="M65" i="1"/>
  <c r="L65" i="1"/>
  <c r="K65" i="1"/>
  <c r="J65" i="1"/>
  <c r="T64" i="1"/>
  <c r="S64" i="1"/>
  <c r="R64" i="1"/>
  <c r="Q64" i="1"/>
  <c r="P64" i="1"/>
  <c r="O64" i="1"/>
  <c r="N64" i="1"/>
  <c r="M64" i="1"/>
  <c r="L64" i="1"/>
  <c r="K64" i="1"/>
  <c r="J64" i="1"/>
  <c r="T63" i="1"/>
  <c r="S63" i="1"/>
  <c r="R63" i="1"/>
  <c r="Q63" i="1"/>
  <c r="P63" i="1"/>
  <c r="O63" i="1"/>
  <c r="N63" i="1"/>
  <c r="M63" i="1"/>
  <c r="L63" i="1"/>
  <c r="K63" i="1"/>
  <c r="J63" i="1"/>
  <c r="T62" i="1"/>
  <c r="S62" i="1"/>
  <c r="R62" i="1"/>
  <c r="Q62" i="1"/>
  <c r="P62" i="1"/>
  <c r="O62" i="1"/>
  <c r="N62" i="1"/>
  <c r="M62" i="1"/>
  <c r="L62" i="1"/>
  <c r="K62" i="1"/>
  <c r="J62" i="1"/>
  <c r="T61" i="1"/>
  <c r="S61" i="1"/>
  <c r="R61" i="1"/>
  <c r="Q61" i="1"/>
  <c r="P61" i="1"/>
  <c r="O61" i="1"/>
  <c r="N61" i="1"/>
  <c r="M61" i="1"/>
  <c r="L61" i="1"/>
  <c r="K61" i="1"/>
  <c r="J61" i="1"/>
</calcChain>
</file>

<file path=xl/sharedStrings.xml><?xml version="1.0" encoding="utf-8"?>
<sst xmlns="http://schemas.openxmlformats.org/spreadsheetml/2006/main" count="860" uniqueCount="196">
  <si>
    <t>Supplementary Information (Online Resource 8)</t>
  </si>
  <si>
    <t>Article title: How Teams Decide on Human Oversight in AI-Powered Systems: A Mixed-Methods Study</t>
  </si>
  <si>
    <r>
      <t xml:space="preserve">Journal: </t>
    </r>
    <r>
      <rPr>
        <sz val="11"/>
        <color rgb="FF000000"/>
        <rFont val="Times New Roman"/>
        <family val="1"/>
      </rPr>
      <t>Empirical Software Engineering</t>
    </r>
  </si>
  <si>
    <r>
      <t xml:space="preserve">Authors: </t>
    </r>
    <r>
      <rPr>
        <sz val="11"/>
        <color rgb="FF000000"/>
        <rFont val="Times New Roman"/>
        <family val="1"/>
      </rPr>
      <t>Eran Sadovski (a), Itzhak Aviv (b), Irit Hadar (a)</t>
    </r>
  </si>
  <si>
    <t xml:space="preserve">Affiliations: </t>
  </si>
  <si>
    <r>
      <t>(a) University of Haifa, City Campus, 3303220, Haifa, Israel</t>
    </r>
    <r>
      <rPr>
        <b/>
        <sz val="11"/>
        <color rgb="FF000000"/>
        <rFont val="Times New Roman"/>
        <family val="1"/>
      </rPr>
      <t xml:space="preserve"> </t>
    </r>
  </si>
  <si>
    <t>(b) The Academic College of Tel Aviv Yaffo (MTA), 6818211, Yaffo, Israel</t>
  </si>
  <si>
    <r>
      <t xml:space="preserve">Corresponding author: </t>
    </r>
    <r>
      <rPr>
        <sz val="11"/>
        <color rgb="FF000000"/>
        <rFont val="Times New Roman"/>
        <family val="1"/>
      </rPr>
      <t>Eran Sadovski, sdv.eran@gmail.com</t>
    </r>
  </si>
  <si>
    <t>חותמת זמן</t>
  </si>
  <si>
    <t>Your age</t>
  </si>
  <si>
    <t>Your gender</t>
  </si>
  <si>
    <t>Roles</t>
  </si>
  <si>
    <t>Your professional \ field of work (e.g., manager, operator)</t>
  </si>
  <si>
    <t>Your domain/industry (With respect to the AI system- e.g., military, health, finance...)</t>
  </si>
  <si>
    <t xml:space="preserve">How do you evaluate the risk factor (both safety and ethics) associated with the decisions made by the AI system you are using? </t>
  </si>
  <si>
    <t xml:space="preserve">  How would you rate your familiarity with AI-powered systems?</t>
  </si>
  <si>
    <t xml:space="preserve">  How many years of experience do you have with AI-based systems?</t>
  </si>
  <si>
    <t>Statement 1</t>
  </si>
  <si>
    <t>Statement 2</t>
  </si>
  <si>
    <t>Statement 3</t>
  </si>
  <si>
    <t>Statement 4</t>
  </si>
  <si>
    <t>Statement 5</t>
  </si>
  <si>
    <t>Statement 6</t>
  </si>
  <si>
    <t>Statement 7</t>
  </si>
  <si>
    <t>Statement 8</t>
  </si>
  <si>
    <t>Statement 9</t>
  </si>
  <si>
    <t>Statement 10</t>
  </si>
  <si>
    <t>Statement 11</t>
  </si>
  <si>
    <t>Male</t>
  </si>
  <si>
    <t>Academia</t>
  </si>
  <si>
    <t xml:space="preserve">Researcher in Medical Sciences </t>
  </si>
  <si>
    <t>Health Academy</t>
  </si>
  <si>
    <t>Medium</t>
  </si>
  <si>
    <t xml:space="preserve">Moderate </t>
  </si>
  <si>
    <t>less than 1</t>
  </si>
  <si>
    <t>Development team</t>
  </si>
  <si>
    <t>Technology consultant</t>
  </si>
  <si>
    <t>Military, transportation</t>
  </si>
  <si>
    <t xml:space="preserve">High </t>
  </si>
  <si>
    <t>Management</t>
  </si>
  <si>
    <t>CTO</t>
  </si>
  <si>
    <t xml:space="preserve">Transport, Defence </t>
  </si>
  <si>
    <t>Low</t>
  </si>
  <si>
    <t xml:space="preserve">Expert </t>
  </si>
  <si>
    <t>Manager</t>
  </si>
  <si>
    <t>Transportation</t>
  </si>
  <si>
    <t>High</t>
  </si>
  <si>
    <t>Engineer</t>
  </si>
  <si>
    <t>Defense</t>
  </si>
  <si>
    <t>None</t>
  </si>
  <si>
    <t>Basic</t>
  </si>
  <si>
    <t>Project manager</t>
  </si>
  <si>
    <t>manager</t>
  </si>
  <si>
    <t>Technology</t>
  </si>
  <si>
    <t>Military</t>
  </si>
  <si>
    <t>Manager (Engineer)</t>
  </si>
  <si>
    <t>Industry (hightech)</t>
  </si>
  <si>
    <t>Product Manager</t>
  </si>
  <si>
    <t xml:space="preserve">Engineer </t>
  </si>
  <si>
    <t xml:space="preserve">Military </t>
  </si>
  <si>
    <t xml:space="preserve">Manager \ Cyber Security </t>
  </si>
  <si>
    <t>HLS</t>
  </si>
  <si>
    <t>4-5</t>
  </si>
  <si>
    <t>VP</t>
  </si>
  <si>
    <t xml:space="preserve">networking </t>
  </si>
  <si>
    <t>Lecturer</t>
  </si>
  <si>
    <t>Operation</t>
  </si>
  <si>
    <t>Female</t>
  </si>
  <si>
    <t>Researcher</t>
  </si>
  <si>
    <t xml:space="preserve">Lecturer </t>
  </si>
  <si>
    <t xml:space="preserve">Education </t>
  </si>
  <si>
    <t>Operator</t>
  </si>
  <si>
    <t>Doctor</t>
  </si>
  <si>
    <t>Healthcare</t>
  </si>
  <si>
    <t>Traffic control operator</t>
  </si>
  <si>
    <t>System engineer</t>
  </si>
  <si>
    <t>Autonomous Vehicles</t>
  </si>
  <si>
    <t>Lawyer</t>
  </si>
  <si>
    <t>Legal</t>
  </si>
  <si>
    <t xml:space="preserve">Musician </t>
  </si>
  <si>
    <t xml:space="preserve">Music </t>
  </si>
  <si>
    <t>Banker</t>
  </si>
  <si>
    <t xml:space="preserve">Finance </t>
  </si>
  <si>
    <t>Developer</t>
  </si>
  <si>
    <t>Fintech</t>
  </si>
  <si>
    <t>System designer</t>
  </si>
  <si>
    <t>Aerospace</t>
  </si>
  <si>
    <t xml:space="preserve">Consultant </t>
  </si>
  <si>
    <t xml:space="preserve">Defense </t>
  </si>
  <si>
    <t xml:space="preserve">Manager </t>
  </si>
  <si>
    <t xml:space="preserve">Transportation </t>
  </si>
  <si>
    <t>Information systems Engineer</t>
  </si>
  <si>
    <t xml:space="preserve">Insurance </t>
  </si>
  <si>
    <t>Software manager</t>
  </si>
  <si>
    <t>Security</t>
  </si>
  <si>
    <t xml:space="preserve">Less than a year </t>
  </si>
  <si>
    <t>Designer</t>
  </si>
  <si>
    <t>cyber</t>
  </si>
  <si>
    <t>operator</t>
  </si>
  <si>
    <t>defense</t>
  </si>
  <si>
    <t>retail</t>
  </si>
  <si>
    <t>Finance</t>
  </si>
  <si>
    <t>Cyber Architect</t>
  </si>
  <si>
    <t>Defense industry</t>
  </si>
  <si>
    <t xml:space="preserve">Government </t>
  </si>
  <si>
    <t xml:space="preserve">Professional services </t>
  </si>
  <si>
    <t>Cyber</t>
  </si>
  <si>
    <t>System Engineer</t>
  </si>
  <si>
    <t>Law</t>
  </si>
  <si>
    <t>1 year</t>
  </si>
  <si>
    <t xml:space="preserve">Software and ciber architect </t>
  </si>
  <si>
    <t>engineer</t>
  </si>
  <si>
    <t>military</t>
  </si>
  <si>
    <t>CPA</t>
  </si>
  <si>
    <t>finance</t>
  </si>
  <si>
    <t>1-2</t>
  </si>
  <si>
    <t xml:space="preserve">Cyber Security Expert </t>
  </si>
  <si>
    <t xml:space="preserve">Military, Government </t>
  </si>
  <si>
    <t>Professor of Accountancy</t>
  </si>
  <si>
    <t>Finane and Academic</t>
  </si>
  <si>
    <t>Senior manager - AI &amp; Data Consulting</t>
  </si>
  <si>
    <t>Peofessional Solutions</t>
  </si>
  <si>
    <t>1-2 years</t>
  </si>
  <si>
    <t xml:space="preserve">Sales Manager </t>
  </si>
  <si>
    <t>Hitech</t>
  </si>
  <si>
    <t>transportation</t>
  </si>
  <si>
    <t xml:space="preserve">Systems engineer </t>
  </si>
  <si>
    <t>Sys eng</t>
  </si>
  <si>
    <t>Law firm</t>
  </si>
  <si>
    <t>Financial</t>
  </si>
  <si>
    <t>Senior data scientist</t>
  </si>
  <si>
    <t>Automotive</t>
  </si>
  <si>
    <t>Count</t>
  </si>
  <si>
    <t>Mean</t>
  </si>
  <si>
    <t>Std</t>
  </si>
  <si>
    <t>min</t>
  </si>
  <si>
    <t>max</t>
  </si>
  <si>
    <t>Strongly disagreed</t>
  </si>
  <si>
    <t>Diasgree</t>
  </si>
  <si>
    <t>Neutral</t>
  </si>
  <si>
    <t>Agree</t>
  </si>
  <si>
    <t>Strongly agree</t>
  </si>
  <si>
    <t>Profile</t>
  </si>
  <si>
    <t>counts</t>
  </si>
  <si>
    <t xml:space="preserve">Low risk </t>
  </si>
  <si>
    <t>Meduim risk</t>
  </si>
  <si>
    <t>High risk</t>
  </si>
  <si>
    <t>Exploratory comparisons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</si>
  <si>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</si>
  <si>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</si>
  <si>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</si>
  <si>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</si>
  <si>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</si>
  <si>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</si>
  <si>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</si>
  <si>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</si>
  <si>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</si>
  <si>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</si>
  <si>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</si>
  <si>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H (tie corrected)</t>
  </si>
  <si>
    <t>df</t>
  </si>
  <si>
    <t>Valid n</t>
  </si>
  <si>
    <t>p (unadjusted)</t>
  </si>
  <si>
    <t>p (Holm, 44 tests)</t>
  </si>
  <si>
    <t>p (Bonferroni, 44 tests)</t>
  </si>
  <si>
    <t>eta squared H</t>
  </si>
  <si>
    <t xml:space="preserve">eta squared H = (H - k + 1)/(n - k); </t>
  </si>
  <si>
    <t>Moderate</t>
  </si>
  <si>
    <t>Expert</t>
  </si>
  <si>
    <t>Counts</t>
  </si>
  <si>
    <t>Developers</t>
  </si>
  <si>
    <t>Operators</t>
  </si>
  <si>
    <t>eta squared H = (H - k + 1)/(n - k)</t>
  </si>
  <si>
    <t>Statement</t>
  </si>
  <si>
    <t>Test</t>
  </si>
  <si>
    <t>Spearman rho</t>
  </si>
  <si>
    <t>p unadjusted</t>
  </si>
  <si>
    <t>Holm p (44)</t>
  </si>
  <si>
    <t>Spearman</t>
  </si>
  <si>
    <t>risk</t>
  </si>
  <si>
    <t>familiarity</t>
  </si>
  <si>
    <t>role</t>
  </si>
  <si>
    <t>Variable</t>
  </si>
  <si>
    <t>Code A</t>
  </si>
  <si>
    <t>Code B</t>
  </si>
  <si>
    <t>Group A</t>
  </si>
  <si>
    <t>Group B</t>
  </si>
  <si>
    <t>Mean rank A</t>
  </si>
  <si>
    <t>Mean rank B</t>
  </si>
  <si>
    <t>Difference A - B</t>
  </si>
  <si>
    <t>Standard error</t>
  </si>
  <si>
    <t>z (A - B)</t>
  </si>
  <si>
    <t>p Bonferroni</t>
  </si>
  <si>
    <t>Higher mean rank</t>
  </si>
  <si>
    <t>Omnibus Holm p (44)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</si>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</sst>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0.000"/>
    <numFmt numFmtId="166" formatCode="0.0000"/>
  </numFmts>
  <fonts count="11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rgb="FF212529"/>
      <name val="Segoe U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212529"/>
      <name val="Arial"/>
      <family val="2"/>
    </font>
    <font>
      <sz val="10"/>
      <color theme="9" tint="-0.2499465926084170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5B3F86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17365D"/>
      </patternFill>
    </fill>
  </fills>
  <borders count="26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0" fontId="0" fillId="0" borderId="12" xfId="0" applyBorder="1"/>
    <xf numFmtId="0" fontId="1" fillId="4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vertical="top" wrapText="1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6" borderId="25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right"/>
    </xf>
    <xf numFmtId="0" fontId="0" fillId="4" borderId="25" xfId="0" applyFill="1" applyBorder="1" applyAlignment="1">
      <alignment horizontal="left"/>
    </xf>
    <xf numFmtId="166" fontId="0" fillId="4" borderId="25" xfId="0" applyNumberFormat="1" applyFill="1" applyBorder="1" applyAlignment="1">
      <alignment horizontal="right"/>
    </xf>
    <xf numFmtId="1" fontId="0" fillId="4" borderId="25" xfId="0" applyNumberFormat="1" applyFill="1" applyBorder="1" applyAlignment="1">
      <alignment horizontal="right"/>
    </xf>
    <xf numFmtId="1" fontId="6" fillId="4" borderId="25" xfId="0" applyNumberFormat="1" applyFont="1" applyFill="1" applyBorder="1" applyAlignment="1">
      <alignment horizontal="right"/>
    </xf>
    <xf numFmtId="166" fontId="6" fillId="4" borderId="2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" fillId="7" borderId="0" xfId="0" applyFont="1" applyFill="1"/>
    <xf numFmtId="165" fontId="0" fillId="0" borderId="0" xfId="0" applyNumberFormat="1"/>
    <xf numFmtId="166" fontId="0" fillId="0" borderId="0" xfId="0" applyNumberFormat="1"/>
    <xf numFmtId="0" fontId="8" fillId="8" borderId="0" xfId="0" applyFont="1" applyFill="1" applyAlignment="1">
      <alignment wrapText="1"/>
    </xf>
    <xf numFmtId="165" fontId="8" fillId="8" borderId="0" xfId="0" applyNumberFormat="1" applyFont="1" applyFill="1" applyAlignment="1">
      <alignment wrapText="1"/>
    </xf>
    <xf numFmtId="0" fontId="9" fillId="0" borderId="0" xfId="0" applyFont="1"/>
    <xf numFmtId="0" fontId="10" fillId="8" borderId="0" xfId="0" applyFont="1" applyFill="1" applyAlignment="1">
      <alignment wrapText="1"/>
    </xf>
  </cellXfs>
  <cellStyles count="1">
    <cellStyle name="Normal" xfId="0" builtinId="0"/>
  </cellStyles>
  <dxfs count="1">
    <dxf>
      <font>
        <u val="none"/>
        <sz val="10"/>
        <color theme="1"/>
        <name val="Arial"/>
      </font>
      <border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T59" totalsRowShown="0">
  <autoFilter ref="A1:T59" xr:uid="{00000000-0009-0000-0100-000001000000}"/>
  <tableColumns count="20">
    <tableColumn id="1" xr3:uid="{00000000-0010-0000-0000-000001000000}" name="חותמת זמן"/>
    <tableColumn id="2" xr3:uid="{00000000-0010-0000-0000-000002000000}" name="Your age"/>
    <tableColumn id="3" xr3:uid="{00000000-0010-0000-0000-000003000000}" name="Your gender"/>
    <tableColumn id="22" xr3:uid="{00000000-0010-0000-0000-000016000000}" name="Roles" dataDxfId="0"/>
    <tableColumn id="4" xr3:uid="{00000000-0010-0000-0000-000004000000}" name="Your professional \ field of work (e.g., manager, operator)"/>
    <tableColumn id="5" xr3:uid="{00000000-0010-0000-0000-000005000000}" name="Your domain/industry (With respect to the AI system- e.g., military, health, finance...)"/>
    <tableColumn id="6" xr3:uid="{00000000-0010-0000-0000-000006000000}" name="How do you evaluate the risk factor (both safety and ethics) associated with the decisions made by the AI system you are using? "/>
    <tableColumn id="7" xr3:uid="{00000000-0010-0000-0000-000007000000}" name="  How would you rate your familiarity with AI-powered systems?"/>
    <tableColumn id="8" xr3:uid="{00000000-0010-0000-0000-000008000000}" name="  How many years of experience do you have with AI-based systems?"/>
    <tableColumn id="9" xr3:uid="{00000000-0010-0000-0000-000009000000}" name="Statement 1"/>
    <tableColumn id="10" xr3:uid="{00000000-0010-0000-0000-00000A000000}" name="Statement 2"/>
    <tableColumn id="11" xr3:uid="{00000000-0010-0000-0000-00000B000000}" name="Statement 3"/>
    <tableColumn id="12" xr3:uid="{00000000-0010-0000-0000-00000C000000}" name="Statement 4"/>
    <tableColumn id="13" xr3:uid="{00000000-0010-0000-0000-00000D000000}" name="Statement 5"/>
    <tableColumn id="14" xr3:uid="{00000000-0010-0000-0000-00000E000000}" name="Statement 6"/>
    <tableColumn id="15" xr3:uid="{00000000-0010-0000-0000-00000F000000}" name="Statement 7"/>
    <tableColumn id="16" xr3:uid="{00000000-0010-0000-0000-000010000000}" name="Statement 8"/>
    <tableColumn id="17" xr3:uid="{00000000-0010-0000-0000-000011000000}" name="Statement 9"/>
    <tableColumn id="18" xr3:uid="{00000000-0010-0000-0000-000012000000}" name="Statement 10"/>
    <tableColumn id="19" xr3:uid="{00000000-0010-0000-0000-000013000000}" name="Statement 11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A18" sqref="A18"/>
    </sheetView>
  </sheetViews>
  <sheetFormatPr defaultRowHeight="12.5" x14ac:dyDescent="0.25"/>
  <cols>
    <col min="1" max="1" width="115" customWidth="1"/>
  </cols>
  <sheetData>
    <row r="1" spans="1:1" ht="14" x14ac:dyDescent="0.25">
      <c r="A1" s="60" t="s">
        <v>0</v>
      </c>
    </row>
    <row r="2" spans="1:1" ht="14" x14ac:dyDescent="0.25">
      <c r="A2" s="60" t="s">
        <v>1</v>
      </c>
    </row>
    <row r="3" spans="1:1" ht="14" x14ac:dyDescent="0.25">
      <c r="A3" s="60" t="s">
        <v>2</v>
      </c>
    </row>
    <row r="4" spans="1:1" ht="14" x14ac:dyDescent="0.25">
      <c r="A4" s="60" t="s">
        <v>3</v>
      </c>
    </row>
    <row r="5" spans="1:1" ht="14" x14ac:dyDescent="0.25">
      <c r="A5" s="60" t="s">
        <v>4</v>
      </c>
    </row>
    <row r="6" spans="1:1" ht="14" x14ac:dyDescent="0.25">
      <c r="A6" s="61" t="s">
        <v>5</v>
      </c>
    </row>
    <row r="7" spans="1:1" ht="14" x14ac:dyDescent="0.25">
      <c r="A7" s="61" t="s">
        <v>6</v>
      </c>
    </row>
    <row r="8" spans="1:1" ht="14" x14ac:dyDescent="0.25">
      <c r="A8" s="60" t="s">
        <v>7</v>
      </c>
    </row>
    <row r="9" spans="1:1" ht="10" customHeight="1" x14ac:dyDescent="0.25">
      <c r="A9" s="62"/>
    </row>
    <row r="10" spans="1:1" ht="13" x14ac:dyDescent="0.3">
      <c r="A10" s="67"/>
    </row>
    <row r="11" spans="1:1" x14ac:dyDescent="0.25">
      <c r="A11" s="63"/>
    </row>
    <row r="12" spans="1:1" x14ac:dyDescent="0.25">
      <c r="A12" s="63"/>
    </row>
    <row r="13" spans="1:1" x14ac:dyDescent="0.25">
      <c r="A13" s="63"/>
    </row>
    <row r="14" spans="1:1" x14ac:dyDescent="0.25">
      <c r="A14" s="63"/>
    </row>
    <row r="15" spans="1:1" x14ac:dyDescent="0.25">
      <c r="A15" s="63"/>
    </row>
    <row r="16" spans="1:1" x14ac:dyDescent="0.25">
      <c r="A16" s="63"/>
    </row>
    <row r="17" spans="1:1" x14ac:dyDescent="0.25">
      <c r="A17" s="63"/>
    </row>
    <row r="18" spans="1:1" x14ac:dyDescent="0.25">
      <c r="A18" s="63"/>
    </row>
    <row r="19" spans="1:1" x14ac:dyDescent="0.25">
      <c r="A19" s="63"/>
    </row>
    <row r="20" spans="1:1" x14ac:dyDescent="0.25">
      <c r="A20" s="63"/>
    </row>
    <row r="21" spans="1:1" x14ac:dyDescent="0.25">
      <c r="A21" s="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"/>
  <sheetViews>
    <sheetView topLeftCell="F1" workbookViewId="0">
      <pane ySplit="1" topLeftCell="A57" activePane="bottomLeft" state="frozen"/>
      <selection pane="bottomLeft" activeCell="G67" sqref="G67"/>
    </sheetView>
  </sheetViews>
  <sheetFormatPr defaultColWidth="12.54296875" defaultRowHeight="12.5" x14ac:dyDescent="0.25"/>
  <cols>
    <col min="1" max="1" width="18.81640625" customWidth="1"/>
    <col min="2" max="2" width="9" style="13" customWidth="1"/>
    <col min="3" max="3" width="7" customWidth="1"/>
    <col min="4" max="4" width="18.81640625" style="13" customWidth="1"/>
    <col min="5" max="5" width="28.26953125" customWidth="1"/>
    <col min="6" max="6" width="37.54296875" style="13" customWidth="1"/>
    <col min="7" max="7" width="16" style="13" customWidth="1"/>
    <col min="8" max="8" width="17.453125" customWidth="1"/>
    <col min="9" max="9" width="16.7265625" style="13" customWidth="1"/>
    <col min="10" max="18" width="10.54296875" style="13" customWidth="1"/>
    <col min="19" max="19" width="11.54296875" style="13" customWidth="1"/>
    <col min="20" max="20" width="14.453125" style="13" customWidth="1"/>
    <col min="21" max="26" width="18.81640625" customWidth="1"/>
  </cols>
  <sheetData>
    <row r="1" spans="1:20" ht="15.75" customHeight="1" x14ac:dyDescent="0.25">
      <c r="A1" s="1" t="s">
        <v>8</v>
      </c>
      <c r="B1" s="9" t="s">
        <v>9</v>
      </c>
      <c r="C1" s="2" t="s">
        <v>10</v>
      </c>
      <c r="D1" s="9" t="s">
        <v>11</v>
      </c>
      <c r="E1" s="2" t="s">
        <v>12</v>
      </c>
      <c r="F1" s="9" t="s">
        <v>13</v>
      </c>
      <c r="G1" s="9" t="s">
        <v>14</v>
      </c>
      <c r="H1" s="2" t="s">
        <v>15</v>
      </c>
      <c r="I1" s="9" t="s">
        <v>16</v>
      </c>
      <c r="J1" s="18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</row>
    <row r="2" spans="1:20" ht="15.75" customHeight="1" x14ac:dyDescent="0.25">
      <c r="A2" s="3">
        <v>45824.477339560181</v>
      </c>
      <c r="B2" s="10">
        <v>82</v>
      </c>
      <c r="C2" s="4" t="s">
        <v>28</v>
      </c>
      <c r="D2" s="10" t="s">
        <v>29</v>
      </c>
      <c r="E2" s="4" t="s">
        <v>30</v>
      </c>
      <c r="F2" s="10" t="s">
        <v>31</v>
      </c>
      <c r="G2" s="10" t="s">
        <v>32</v>
      </c>
      <c r="H2" s="4" t="s">
        <v>33</v>
      </c>
      <c r="I2" s="10" t="s">
        <v>34</v>
      </c>
      <c r="J2" s="10">
        <v>3</v>
      </c>
      <c r="K2" s="10">
        <v>4</v>
      </c>
      <c r="L2" s="10">
        <v>4</v>
      </c>
      <c r="M2" s="10">
        <v>3</v>
      </c>
      <c r="N2" s="10">
        <v>5</v>
      </c>
      <c r="O2" s="10">
        <v>5</v>
      </c>
      <c r="P2" s="10">
        <v>5</v>
      </c>
      <c r="Q2" s="10">
        <v>4</v>
      </c>
      <c r="R2" s="10">
        <v>5</v>
      </c>
      <c r="S2" s="10">
        <v>4</v>
      </c>
      <c r="T2" s="14">
        <v>3</v>
      </c>
    </row>
    <row r="3" spans="1:20" ht="15.75" customHeight="1" x14ac:dyDescent="0.25">
      <c r="A3" s="5">
        <v>45824.845636446757</v>
      </c>
      <c r="B3" s="11">
        <v>52</v>
      </c>
      <c r="C3" s="6" t="s">
        <v>28</v>
      </c>
      <c r="D3" s="11" t="s">
        <v>35</v>
      </c>
      <c r="E3" s="6" t="s">
        <v>36</v>
      </c>
      <c r="F3" s="11" t="s">
        <v>37</v>
      </c>
      <c r="G3" s="11" t="s">
        <v>32</v>
      </c>
      <c r="H3" s="6" t="s">
        <v>38</v>
      </c>
      <c r="I3" s="11">
        <v>5</v>
      </c>
      <c r="J3" s="11">
        <v>5</v>
      </c>
      <c r="K3" s="11">
        <v>5</v>
      </c>
      <c r="L3" s="11">
        <v>4</v>
      </c>
      <c r="M3" s="11">
        <v>3</v>
      </c>
      <c r="N3" s="11">
        <v>5</v>
      </c>
      <c r="O3" s="11">
        <v>3</v>
      </c>
      <c r="P3" s="11">
        <v>4</v>
      </c>
      <c r="Q3" s="11">
        <v>4</v>
      </c>
      <c r="R3" s="11">
        <v>3</v>
      </c>
      <c r="S3" s="11">
        <v>4</v>
      </c>
      <c r="T3" s="15">
        <v>4</v>
      </c>
    </row>
    <row r="4" spans="1:20" ht="15.75" customHeight="1" x14ac:dyDescent="0.25">
      <c r="A4" s="3">
        <v>45825.455151400463</v>
      </c>
      <c r="B4" s="10">
        <v>52</v>
      </c>
      <c r="C4" s="4" t="s">
        <v>28</v>
      </c>
      <c r="D4" s="10" t="s">
        <v>39</v>
      </c>
      <c r="E4" s="4" t="s">
        <v>40</v>
      </c>
      <c r="F4" s="10" t="s">
        <v>41</v>
      </c>
      <c r="G4" s="10" t="s">
        <v>42</v>
      </c>
      <c r="H4" s="4" t="s">
        <v>43</v>
      </c>
      <c r="I4" s="10">
        <v>20</v>
      </c>
      <c r="J4" s="10">
        <v>5</v>
      </c>
      <c r="K4" s="10">
        <v>3</v>
      </c>
      <c r="L4" s="10">
        <v>2</v>
      </c>
      <c r="M4" s="10">
        <v>3</v>
      </c>
      <c r="N4" s="10">
        <v>5</v>
      </c>
      <c r="O4" s="10">
        <v>5</v>
      </c>
      <c r="P4" s="10">
        <v>5</v>
      </c>
      <c r="Q4" s="10">
        <v>4</v>
      </c>
      <c r="R4" s="10">
        <v>4</v>
      </c>
      <c r="S4" s="10">
        <v>4</v>
      </c>
      <c r="T4" s="14">
        <v>4</v>
      </c>
    </row>
    <row r="5" spans="1:20" ht="15.75" customHeight="1" x14ac:dyDescent="0.25">
      <c r="A5" s="5">
        <v>45825.698694062499</v>
      </c>
      <c r="B5" s="11">
        <v>39</v>
      </c>
      <c r="C5" s="6" t="s">
        <v>28</v>
      </c>
      <c r="D5" s="11" t="s">
        <v>39</v>
      </c>
      <c r="E5" s="6" t="s">
        <v>44</v>
      </c>
      <c r="F5" s="11" t="s">
        <v>45</v>
      </c>
      <c r="G5" s="11" t="s">
        <v>46</v>
      </c>
      <c r="H5" s="4" t="s">
        <v>33</v>
      </c>
      <c r="I5" s="11">
        <v>1</v>
      </c>
      <c r="J5" s="11">
        <v>4</v>
      </c>
      <c r="K5" s="11">
        <v>3</v>
      </c>
      <c r="L5" s="11">
        <v>4</v>
      </c>
      <c r="M5" s="11">
        <v>4</v>
      </c>
      <c r="N5" s="11">
        <v>5</v>
      </c>
      <c r="O5" s="11">
        <v>4</v>
      </c>
      <c r="P5" s="11">
        <v>4</v>
      </c>
      <c r="Q5" s="11">
        <v>4</v>
      </c>
      <c r="R5" s="11">
        <v>4</v>
      </c>
      <c r="S5" s="11">
        <v>2</v>
      </c>
      <c r="T5" s="15">
        <v>5</v>
      </c>
    </row>
    <row r="6" spans="1:20" ht="15.75" customHeight="1" x14ac:dyDescent="0.25">
      <c r="A6" s="3">
        <v>45825.85749811343</v>
      </c>
      <c r="B6" s="10">
        <v>50</v>
      </c>
      <c r="C6" s="4" t="s">
        <v>28</v>
      </c>
      <c r="D6" s="10" t="s">
        <v>35</v>
      </c>
      <c r="E6" s="4" t="s">
        <v>47</v>
      </c>
      <c r="F6" s="10" t="s">
        <v>48</v>
      </c>
      <c r="G6" s="10" t="s">
        <v>46</v>
      </c>
      <c r="H6" s="6" t="s">
        <v>38</v>
      </c>
      <c r="I6" s="10">
        <v>3</v>
      </c>
      <c r="J6" s="10">
        <v>5</v>
      </c>
      <c r="K6" s="10">
        <v>5</v>
      </c>
      <c r="L6" s="10">
        <v>5</v>
      </c>
      <c r="M6" s="10">
        <v>3</v>
      </c>
      <c r="N6" s="10">
        <v>4</v>
      </c>
      <c r="O6" s="10">
        <v>5</v>
      </c>
      <c r="P6" s="10">
        <v>5</v>
      </c>
      <c r="Q6" s="10">
        <v>4</v>
      </c>
      <c r="R6" s="10">
        <v>5</v>
      </c>
      <c r="S6" s="10">
        <v>1</v>
      </c>
      <c r="T6" s="14">
        <v>3</v>
      </c>
    </row>
    <row r="7" spans="1:20" ht="15.75" customHeight="1" x14ac:dyDescent="0.25">
      <c r="A7" s="5">
        <v>45826.002925393521</v>
      </c>
      <c r="B7" s="11">
        <v>50</v>
      </c>
      <c r="C7" s="6" t="s">
        <v>28</v>
      </c>
      <c r="D7" s="11" t="s">
        <v>39</v>
      </c>
      <c r="E7" s="6" t="s">
        <v>44</v>
      </c>
      <c r="F7" s="11" t="s">
        <v>48</v>
      </c>
      <c r="G7" s="11" t="s">
        <v>46</v>
      </c>
      <c r="H7" s="4" t="s">
        <v>33</v>
      </c>
      <c r="I7" s="11" t="s">
        <v>49</v>
      </c>
      <c r="J7" s="11">
        <v>4</v>
      </c>
      <c r="K7" s="11">
        <v>5</v>
      </c>
      <c r="L7" s="11">
        <v>5</v>
      </c>
      <c r="M7" s="11">
        <v>3</v>
      </c>
      <c r="N7" s="11">
        <v>5</v>
      </c>
      <c r="O7" s="11">
        <v>5</v>
      </c>
      <c r="P7" s="11">
        <v>5</v>
      </c>
      <c r="Q7" s="11">
        <v>5</v>
      </c>
      <c r="R7" s="11">
        <v>5</v>
      </c>
      <c r="S7" s="11">
        <v>2</v>
      </c>
      <c r="T7" s="15">
        <v>4</v>
      </c>
    </row>
    <row r="8" spans="1:20" ht="15.75" customHeight="1" x14ac:dyDescent="0.25">
      <c r="A8" s="3">
        <v>45826.354225324074</v>
      </c>
      <c r="B8" s="10">
        <v>49</v>
      </c>
      <c r="C8" s="4" t="s">
        <v>28</v>
      </c>
      <c r="D8" s="10" t="s">
        <v>39</v>
      </c>
      <c r="E8" s="4" t="s">
        <v>40</v>
      </c>
      <c r="F8" s="10" t="s">
        <v>45</v>
      </c>
      <c r="G8" s="10" t="s">
        <v>32</v>
      </c>
      <c r="H8" s="4" t="s">
        <v>50</v>
      </c>
      <c r="I8" s="10">
        <v>0</v>
      </c>
      <c r="J8" s="10">
        <v>4</v>
      </c>
      <c r="K8" s="10">
        <v>4</v>
      </c>
      <c r="L8" s="10">
        <v>5</v>
      </c>
      <c r="M8" s="10">
        <v>4</v>
      </c>
      <c r="N8" s="10">
        <v>4</v>
      </c>
      <c r="O8" s="10">
        <v>3</v>
      </c>
      <c r="P8" s="10">
        <v>5</v>
      </c>
      <c r="Q8" s="10">
        <v>3</v>
      </c>
      <c r="R8" s="10">
        <v>4</v>
      </c>
      <c r="S8" s="10">
        <v>4</v>
      </c>
      <c r="T8" s="14">
        <v>4</v>
      </c>
    </row>
    <row r="9" spans="1:20" ht="15.75" customHeight="1" x14ac:dyDescent="0.25">
      <c r="A9" s="3">
        <v>45826.512548136576</v>
      </c>
      <c r="B9" s="10">
        <v>53</v>
      </c>
      <c r="C9" s="4" t="s">
        <v>28</v>
      </c>
      <c r="D9" s="10" t="s">
        <v>39</v>
      </c>
      <c r="E9" s="4" t="s">
        <v>51</v>
      </c>
      <c r="F9" s="10" t="s">
        <v>48</v>
      </c>
      <c r="G9" s="10" t="s">
        <v>32</v>
      </c>
      <c r="H9" s="4" t="s">
        <v>43</v>
      </c>
      <c r="I9" s="10">
        <v>5</v>
      </c>
      <c r="J9" s="10">
        <v>5</v>
      </c>
      <c r="K9" s="10">
        <v>4</v>
      </c>
      <c r="L9" s="10">
        <v>2</v>
      </c>
      <c r="M9" s="10">
        <v>3</v>
      </c>
      <c r="N9" s="10">
        <v>5</v>
      </c>
      <c r="O9" s="10">
        <v>2</v>
      </c>
      <c r="P9" s="10">
        <v>2</v>
      </c>
      <c r="Q9" s="10">
        <v>1</v>
      </c>
      <c r="R9" s="10">
        <v>5</v>
      </c>
      <c r="S9" s="10">
        <v>4</v>
      </c>
      <c r="T9" s="14">
        <v>5</v>
      </c>
    </row>
    <row r="10" spans="1:20" ht="15.75" customHeight="1" x14ac:dyDescent="0.25">
      <c r="A10" s="5">
        <v>45826.516540763885</v>
      </c>
      <c r="B10" s="11">
        <v>52</v>
      </c>
      <c r="C10" s="6" t="s">
        <v>28</v>
      </c>
      <c r="D10" s="11" t="s">
        <v>39</v>
      </c>
      <c r="E10" s="6" t="s">
        <v>52</v>
      </c>
      <c r="F10" s="11" t="s">
        <v>53</v>
      </c>
      <c r="G10" s="11" t="s">
        <v>46</v>
      </c>
      <c r="H10" s="6" t="s">
        <v>38</v>
      </c>
      <c r="I10" s="11">
        <v>2</v>
      </c>
      <c r="J10" s="11">
        <v>4</v>
      </c>
      <c r="K10" s="11">
        <v>5</v>
      </c>
      <c r="L10" s="11">
        <v>4</v>
      </c>
      <c r="M10" s="11">
        <v>4</v>
      </c>
      <c r="N10" s="11">
        <v>4</v>
      </c>
      <c r="O10" s="11">
        <v>4</v>
      </c>
      <c r="P10" s="11">
        <v>4</v>
      </c>
      <c r="Q10" s="11">
        <v>2</v>
      </c>
      <c r="R10" s="11">
        <v>2</v>
      </c>
      <c r="S10" s="11">
        <v>2</v>
      </c>
      <c r="T10" s="15">
        <v>4</v>
      </c>
    </row>
    <row r="11" spans="1:20" ht="15.75" customHeight="1" x14ac:dyDescent="0.25">
      <c r="A11" s="3">
        <v>45826.546903564813</v>
      </c>
      <c r="B11" s="10">
        <v>35</v>
      </c>
      <c r="C11" s="4" t="s">
        <v>28</v>
      </c>
      <c r="D11" s="10" t="s">
        <v>39</v>
      </c>
      <c r="E11" s="4" t="s">
        <v>44</v>
      </c>
      <c r="F11" s="10" t="s">
        <v>54</v>
      </c>
      <c r="G11" s="10" t="s">
        <v>46</v>
      </c>
      <c r="H11" s="4" t="s">
        <v>43</v>
      </c>
      <c r="I11" s="10">
        <v>10</v>
      </c>
      <c r="J11" s="10">
        <v>5</v>
      </c>
      <c r="K11" s="10">
        <v>4</v>
      </c>
      <c r="L11" s="10">
        <v>3</v>
      </c>
      <c r="M11" s="10">
        <v>4</v>
      </c>
      <c r="N11" s="10">
        <v>5</v>
      </c>
      <c r="O11" s="10">
        <v>4</v>
      </c>
      <c r="P11" s="10">
        <v>4</v>
      </c>
      <c r="Q11" s="10">
        <v>5</v>
      </c>
      <c r="R11" s="10">
        <v>5</v>
      </c>
      <c r="S11" s="10"/>
      <c r="T11" s="14">
        <v>4</v>
      </c>
    </row>
    <row r="12" spans="1:20" ht="15.75" customHeight="1" x14ac:dyDescent="0.25">
      <c r="A12" s="5">
        <v>45826.549033055555</v>
      </c>
      <c r="B12" s="11">
        <v>50</v>
      </c>
      <c r="C12" s="6" t="s">
        <v>28</v>
      </c>
      <c r="D12" s="11" t="s">
        <v>39</v>
      </c>
      <c r="E12" s="6" t="s">
        <v>55</v>
      </c>
      <c r="F12" s="11" t="s">
        <v>56</v>
      </c>
      <c r="G12" s="11" t="s">
        <v>42</v>
      </c>
      <c r="H12" s="6" t="s">
        <v>38</v>
      </c>
      <c r="I12" s="11">
        <v>3</v>
      </c>
      <c r="J12" s="11">
        <v>4</v>
      </c>
      <c r="K12" s="11">
        <v>4</v>
      </c>
      <c r="L12" s="11">
        <v>5</v>
      </c>
      <c r="M12" s="11">
        <v>3</v>
      </c>
      <c r="N12" s="11">
        <v>5</v>
      </c>
      <c r="O12" s="11">
        <v>4</v>
      </c>
      <c r="P12" s="11">
        <v>4</v>
      </c>
      <c r="Q12" s="11">
        <v>3</v>
      </c>
      <c r="R12" s="11">
        <v>4</v>
      </c>
      <c r="S12" s="11">
        <v>4</v>
      </c>
      <c r="T12" s="15">
        <v>4</v>
      </c>
    </row>
    <row r="13" spans="1:20" ht="15.75" customHeight="1" x14ac:dyDescent="0.25">
      <c r="A13" s="3">
        <v>45826.565211018518</v>
      </c>
      <c r="B13" s="10">
        <v>35</v>
      </c>
      <c r="C13" s="4" t="s">
        <v>28</v>
      </c>
      <c r="D13" s="10" t="s">
        <v>39</v>
      </c>
      <c r="E13" s="4" t="s">
        <v>57</v>
      </c>
      <c r="F13" s="10" t="s">
        <v>45</v>
      </c>
      <c r="G13" s="10" t="s">
        <v>32</v>
      </c>
      <c r="H13" s="4" t="s">
        <v>33</v>
      </c>
      <c r="I13" s="10">
        <v>4</v>
      </c>
      <c r="J13" s="10">
        <v>4</v>
      </c>
      <c r="K13" s="10">
        <v>5</v>
      </c>
      <c r="L13" s="10">
        <v>4</v>
      </c>
      <c r="M13" s="10">
        <v>3</v>
      </c>
      <c r="N13" s="10">
        <v>4</v>
      </c>
      <c r="O13" s="10">
        <v>4</v>
      </c>
      <c r="P13" s="10">
        <v>4</v>
      </c>
      <c r="Q13" s="10">
        <v>4</v>
      </c>
      <c r="R13" s="10">
        <v>5</v>
      </c>
      <c r="S13" s="10">
        <v>4</v>
      </c>
      <c r="T13" s="14">
        <v>4</v>
      </c>
    </row>
    <row r="14" spans="1:20" ht="15.75" customHeight="1" x14ac:dyDescent="0.25">
      <c r="A14" s="5">
        <v>45826.587216296291</v>
      </c>
      <c r="B14" s="11">
        <v>64</v>
      </c>
      <c r="C14" s="6" t="s">
        <v>28</v>
      </c>
      <c r="D14" s="11" t="s">
        <v>35</v>
      </c>
      <c r="E14" s="6" t="s">
        <v>58</v>
      </c>
      <c r="F14" s="11" t="s">
        <v>59</v>
      </c>
      <c r="G14" s="11" t="s">
        <v>46</v>
      </c>
      <c r="H14" s="4" t="s">
        <v>33</v>
      </c>
      <c r="I14" s="11">
        <v>35</v>
      </c>
      <c r="J14" s="11">
        <v>4</v>
      </c>
      <c r="K14" s="11">
        <v>5</v>
      </c>
      <c r="L14" s="11">
        <v>4</v>
      </c>
      <c r="M14" s="11">
        <v>5</v>
      </c>
      <c r="N14" s="11">
        <v>4</v>
      </c>
      <c r="O14" s="11">
        <v>2</v>
      </c>
      <c r="P14" s="11">
        <v>4</v>
      </c>
      <c r="Q14" s="11">
        <v>5</v>
      </c>
      <c r="R14" s="11">
        <v>4</v>
      </c>
      <c r="S14" s="11">
        <v>3</v>
      </c>
      <c r="T14" s="15">
        <v>4</v>
      </c>
    </row>
    <row r="15" spans="1:20" ht="15.75" customHeight="1" x14ac:dyDescent="0.25">
      <c r="A15" s="3">
        <v>45826.693233831014</v>
      </c>
      <c r="B15" s="10">
        <v>45</v>
      </c>
      <c r="C15" s="4" t="s">
        <v>28</v>
      </c>
      <c r="D15" s="10" t="s">
        <v>35</v>
      </c>
      <c r="E15" s="4" t="s">
        <v>60</v>
      </c>
      <c r="F15" s="10" t="s">
        <v>61</v>
      </c>
      <c r="G15" s="10" t="s">
        <v>42</v>
      </c>
      <c r="H15" s="4" t="s">
        <v>43</v>
      </c>
      <c r="I15" s="10" t="s">
        <v>62</v>
      </c>
      <c r="J15" s="10">
        <v>5</v>
      </c>
      <c r="K15" s="10">
        <v>4</v>
      </c>
      <c r="L15" s="10">
        <v>5</v>
      </c>
      <c r="M15" s="10">
        <v>4</v>
      </c>
      <c r="N15" s="10">
        <v>4</v>
      </c>
      <c r="O15" s="10">
        <v>5</v>
      </c>
      <c r="P15" s="10">
        <v>5</v>
      </c>
      <c r="Q15" s="10">
        <v>3</v>
      </c>
      <c r="R15" s="10">
        <v>3</v>
      </c>
      <c r="S15" s="10">
        <v>4</v>
      </c>
      <c r="T15" s="14">
        <v>4</v>
      </c>
    </row>
    <row r="16" spans="1:20" ht="15.75" customHeight="1" x14ac:dyDescent="0.25">
      <c r="A16" s="5">
        <v>45826.79142981481</v>
      </c>
      <c r="B16" s="11">
        <v>52</v>
      </c>
      <c r="C16" s="6" t="s">
        <v>28</v>
      </c>
      <c r="D16" s="11" t="s">
        <v>39</v>
      </c>
      <c r="E16" s="6" t="s">
        <v>63</v>
      </c>
      <c r="F16" s="11" t="s">
        <v>64</v>
      </c>
      <c r="G16" s="11" t="s">
        <v>42</v>
      </c>
      <c r="H16" s="4" t="s">
        <v>43</v>
      </c>
      <c r="I16" s="11">
        <v>5</v>
      </c>
      <c r="J16" s="11">
        <v>4</v>
      </c>
      <c r="K16" s="11">
        <v>5</v>
      </c>
      <c r="L16" s="11">
        <v>4</v>
      </c>
      <c r="M16" s="11">
        <v>3</v>
      </c>
      <c r="N16" s="11">
        <v>4</v>
      </c>
      <c r="O16" s="11">
        <v>4</v>
      </c>
      <c r="P16" s="11">
        <v>5</v>
      </c>
      <c r="Q16" s="11">
        <v>4</v>
      </c>
      <c r="R16" s="11">
        <v>5</v>
      </c>
      <c r="S16" s="11">
        <v>4</v>
      </c>
      <c r="T16" s="15">
        <v>4</v>
      </c>
    </row>
    <row r="17" spans="1:20" ht="15.75" customHeight="1" x14ac:dyDescent="0.25">
      <c r="A17" s="3">
        <v>45826.993571597224</v>
      </c>
      <c r="B17" s="10">
        <v>79</v>
      </c>
      <c r="C17" s="4" t="s">
        <v>28</v>
      </c>
      <c r="D17" s="10" t="s">
        <v>29</v>
      </c>
      <c r="E17" s="4" t="s">
        <v>65</v>
      </c>
      <c r="F17" s="10" t="s">
        <v>66</v>
      </c>
      <c r="G17" s="10" t="s">
        <v>46</v>
      </c>
      <c r="H17" s="4" t="s">
        <v>33</v>
      </c>
      <c r="I17" s="10">
        <v>10</v>
      </c>
      <c r="J17" s="10">
        <v>3</v>
      </c>
      <c r="K17" s="10">
        <v>4</v>
      </c>
      <c r="L17" s="10">
        <v>5</v>
      </c>
      <c r="M17" s="10">
        <v>1</v>
      </c>
      <c r="N17" s="10">
        <v>2</v>
      </c>
      <c r="O17" s="10">
        <v>5</v>
      </c>
      <c r="P17" s="10">
        <v>5</v>
      </c>
      <c r="Q17" s="10">
        <v>5</v>
      </c>
      <c r="R17" s="10">
        <v>4</v>
      </c>
      <c r="S17" s="10">
        <v>2</v>
      </c>
      <c r="T17" s="14">
        <v>2</v>
      </c>
    </row>
    <row r="18" spans="1:20" ht="15.75" customHeight="1" x14ac:dyDescent="0.25">
      <c r="A18" s="5">
        <v>45827.372211759255</v>
      </c>
      <c r="B18" s="11">
        <v>63</v>
      </c>
      <c r="C18" s="6" t="s">
        <v>67</v>
      </c>
      <c r="D18" s="11" t="s">
        <v>29</v>
      </c>
      <c r="E18" s="6" t="s">
        <v>68</v>
      </c>
      <c r="F18" s="11" t="s">
        <v>29</v>
      </c>
      <c r="G18" s="11" t="s">
        <v>32</v>
      </c>
      <c r="H18" s="4" t="s">
        <v>33</v>
      </c>
      <c r="I18" s="11">
        <v>5</v>
      </c>
      <c r="J18" s="11">
        <v>5</v>
      </c>
      <c r="K18" s="11">
        <v>4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3</v>
      </c>
      <c r="R18" s="11">
        <v>5</v>
      </c>
      <c r="S18" s="11">
        <v>3</v>
      </c>
      <c r="T18" s="15">
        <v>4</v>
      </c>
    </row>
    <row r="19" spans="1:20" ht="15.75" customHeight="1" x14ac:dyDescent="0.25">
      <c r="A19" s="3">
        <v>45827.398969999995</v>
      </c>
      <c r="B19" s="10">
        <v>63</v>
      </c>
      <c r="C19" s="4" t="s">
        <v>28</v>
      </c>
      <c r="D19" s="10" t="s">
        <v>29</v>
      </c>
      <c r="E19" s="4" t="s">
        <v>69</v>
      </c>
      <c r="F19" s="10" t="s">
        <v>70</v>
      </c>
      <c r="G19" s="10" t="s">
        <v>42</v>
      </c>
      <c r="H19" s="6" t="s">
        <v>38</v>
      </c>
      <c r="I19" s="10">
        <v>5</v>
      </c>
      <c r="J19" s="10">
        <v>4</v>
      </c>
      <c r="K19" s="10">
        <v>5</v>
      </c>
      <c r="L19" s="10">
        <v>4</v>
      </c>
      <c r="M19" s="10">
        <v>4</v>
      </c>
      <c r="N19" s="10">
        <v>4</v>
      </c>
      <c r="O19" s="10">
        <v>3</v>
      </c>
      <c r="P19" s="10">
        <v>4</v>
      </c>
      <c r="Q19" s="10">
        <v>4</v>
      </c>
      <c r="R19" s="10">
        <v>4</v>
      </c>
      <c r="S19" s="10">
        <v>4</v>
      </c>
      <c r="T19" s="14">
        <v>4</v>
      </c>
    </row>
    <row r="20" spans="1:20" ht="15.75" customHeight="1" x14ac:dyDescent="0.25">
      <c r="A20" s="3">
        <v>45827.640511076388</v>
      </c>
      <c r="B20" s="10">
        <v>45</v>
      </c>
      <c r="C20" s="4" t="s">
        <v>28</v>
      </c>
      <c r="D20" s="10" t="s">
        <v>71</v>
      </c>
      <c r="E20" s="4" t="s">
        <v>72</v>
      </c>
      <c r="F20" s="10" t="s">
        <v>73</v>
      </c>
      <c r="G20" s="10" t="s">
        <v>46</v>
      </c>
      <c r="H20" s="4" t="s">
        <v>33</v>
      </c>
      <c r="I20" s="10">
        <v>10</v>
      </c>
      <c r="J20" s="10">
        <v>4</v>
      </c>
      <c r="K20" s="10">
        <v>5</v>
      </c>
      <c r="L20" s="10">
        <v>4</v>
      </c>
      <c r="M20" s="10">
        <v>2</v>
      </c>
      <c r="N20" s="10">
        <v>5</v>
      </c>
      <c r="O20" s="10">
        <v>3</v>
      </c>
      <c r="P20" s="10">
        <v>5</v>
      </c>
      <c r="Q20" s="10">
        <v>4</v>
      </c>
      <c r="R20" s="10">
        <v>5</v>
      </c>
      <c r="S20" s="10">
        <v>2</v>
      </c>
      <c r="T20" s="14">
        <v>2</v>
      </c>
    </row>
    <row r="21" spans="1:20" ht="15.75" customHeight="1" x14ac:dyDescent="0.25">
      <c r="A21" s="5">
        <v>45827.645700428242</v>
      </c>
      <c r="B21" s="11">
        <v>42</v>
      </c>
      <c r="C21" s="6" t="s">
        <v>28</v>
      </c>
      <c r="D21" s="11" t="s">
        <v>71</v>
      </c>
      <c r="E21" s="6" t="s">
        <v>74</v>
      </c>
      <c r="F21" s="11" t="s">
        <v>45</v>
      </c>
      <c r="G21" s="11" t="s">
        <v>46</v>
      </c>
      <c r="H21" s="4" t="s">
        <v>33</v>
      </c>
      <c r="I21" s="11">
        <v>5</v>
      </c>
      <c r="J21" s="11">
        <v>5</v>
      </c>
      <c r="K21" s="11">
        <v>5</v>
      </c>
      <c r="L21" s="11">
        <v>5</v>
      </c>
      <c r="M21" s="11">
        <v>4</v>
      </c>
      <c r="N21" s="11">
        <v>5</v>
      </c>
      <c r="O21" s="11">
        <v>5</v>
      </c>
      <c r="P21" s="11">
        <v>5</v>
      </c>
      <c r="Q21" s="11">
        <v>4</v>
      </c>
      <c r="R21" s="11">
        <v>5</v>
      </c>
      <c r="S21" s="11">
        <v>4</v>
      </c>
      <c r="T21" s="15">
        <v>4</v>
      </c>
    </row>
    <row r="22" spans="1:20" ht="15.75" customHeight="1" x14ac:dyDescent="0.25">
      <c r="A22" s="3">
        <v>45827.65175478009</v>
      </c>
      <c r="B22" s="10">
        <v>38</v>
      </c>
      <c r="C22" s="4" t="s">
        <v>28</v>
      </c>
      <c r="D22" s="10" t="s">
        <v>35</v>
      </c>
      <c r="E22" s="4" t="s">
        <v>75</v>
      </c>
      <c r="F22" s="10" t="s">
        <v>76</v>
      </c>
      <c r="G22" s="10" t="s">
        <v>46</v>
      </c>
      <c r="H22" s="4" t="s">
        <v>43</v>
      </c>
      <c r="I22" s="10">
        <v>6</v>
      </c>
      <c r="J22" s="10">
        <v>4</v>
      </c>
      <c r="K22" s="10">
        <v>5</v>
      </c>
      <c r="L22" s="10">
        <v>5</v>
      </c>
      <c r="M22" s="10">
        <v>3</v>
      </c>
      <c r="N22" s="10">
        <v>5</v>
      </c>
      <c r="O22" s="10">
        <v>5</v>
      </c>
      <c r="P22" s="10">
        <v>5</v>
      </c>
      <c r="Q22" s="10">
        <v>4</v>
      </c>
      <c r="R22" s="10">
        <v>5</v>
      </c>
      <c r="S22" s="10">
        <v>3</v>
      </c>
      <c r="T22" s="14">
        <v>4</v>
      </c>
    </row>
    <row r="23" spans="1:20" ht="15.75" customHeight="1" x14ac:dyDescent="0.25">
      <c r="A23" s="5">
        <v>45827.658355763888</v>
      </c>
      <c r="B23" s="11">
        <v>45</v>
      </c>
      <c r="C23" s="6" t="s">
        <v>67</v>
      </c>
      <c r="D23" s="11" t="s">
        <v>71</v>
      </c>
      <c r="E23" s="6" t="s">
        <v>77</v>
      </c>
      <c r="F23" s="11" t="s">
        <v>78</v>
      </c>
      <c r="G23" s="11" t="s">
        <v>46</v>
      </c>
      <c r="H23" s="4" t="s">
        <v>33</v>
      </c>
      <c r="I23" s="11">
        <v>2</v>
      </c>
      <c r="J23" s="11">
        <v>5</v>
      </c>
      <c r="K23" s="11">
        <v>5</v>
      </c>
      <c r="L23" s="11">
        <v>5</v>
      </c>
      <c r="M23" s="11">
        <v>3</v>
      </c>
      <c r="N23" s="11">
        <v>5</v>
      </c>
      <c r="O23" s="11">
        <v>4</v>
      </c>
      <c r="P23" s="11">
        <v>5</v>
      </c>
      <c r="Q23" s="11">
        <v>4</v>
      </c>
      <c r="R23" s="11">
        <v>5</v>
      </c>
      <c r="S23" s="11">
        <v>2</v>
      </c>
      <c r="T23" s="15">
        <v>3</v>
      </c>
    </row>
    <row r="24" spans="1:20" ht="15.75" customHeight="1" x14ac:dyDescent="0.25">
      <c r="A24" s="3">
        <v>45827.661612766206</v>
      </c>
      <c r="B24" s="10">
        <v>31</v>
      </c>
      <c r="C24" s="4" t="s">
        <v>28</v>
      </c>
      <c r="D24" s="10" t="s">
        <v>71</v>
      </c>
      <c r="E24" s="4" t="s">
        <v>79</v>
      </c>
      <c r="F24" s="10" t="s">
        <v>80</v>
      </c>
      <c r="G24" s="10" t="s">
        <v>42</v>
      </c>
      <c r="H24" s="6" t="s">
        <v>38</v>
      </c>
      <c r="I24" s="10">
        <v>1</v>
      </c>
      <c r="J24" s="10">
        <v>4</v>
      </c>
      <c r="K24" s="10">
        <v>5</v>
      </c>
      <c r="L24" s="10">
        <v>5</v>
      </c>
      <c r="M24" s="10">
        <v>3</v>
      </c>
      <c r="N24" s="10">
        <v>4</v>
      </c>
      <c r="O24" s="10">
        <v>3</v>
      </c>
      <c r="P24" s="10">
        <v>5</v>
      </c>
      <c r="Q24" s="10">
        <v>2</v>
      </c>
      <c r="R24" s="10">
        <v>4</v>
      </c>
      <c r="S24" s="10">
        <v>4</v>
      </c>
      <c r="T24" s="14">
        <v>3</v>
      </c>
    </row>
    <row r="25" spans="1:20" ht="15.75" customHeight="1" x14ac:dyDescent="0.25">
      <c r="A25" s="5">
        <v>45827.67807248843</v>
      </c>
      <c r="B25" s="11">
        <v>50</v>
      </c>
      <c r="C25" s="6" t="s">
        <v>28</v>
      </c>
      <c r="D25" s="11" t="s">
        <v>71</v>
      </c>
      <c r="E25" s="6" t="s">
        <v>81</v>
      </c>
      <c r="F25" s="11" t="s">
        <v>82</v>
      </c>
      <c r="G25" s="11" t="s">
        <v>46</v>
      </c>
      <c r="H25" s="6" t="s">
        <v>50</v>
      </c>
      <c r="I25" s="11">
        <v>1</v>
      </c>
      <c r="J25" s="11">
        <v>5</v>
      </c>
      <c r="K25" s="11">
        <v>5</v>
      </c>
      <c r="L25" s="11">
        <v>5</v>
      </c>
      <c r="M25" s="11">
        <v>3</v>
      </c>
      <c r="N25" s="11">
        <v>5</v>
      </c>
      <c r="O25" s="11">
        <v>4</v>
      </c>
      <c r="P25" s="11">
        <v>5</v>
      </c>
      <c r="Q25" s="11">
        <v>3</v>
      </c>
      <c r="R25" s="11">
        <v>5</v>
      </c>
      <c r="S25" s="11">
        <v>3</v>
      </c>
      <c r="T25" s="15">
        <v>4</v>
      </c>
    </row>
    <row r="26" spans="1:20" ht="15.75" customHeight="1" x14ac:dyDescent="0.25">
      <c r="A26" s="3">
        <v>45827.680077303245</v>
      </c>
      <c r="B26" s="10">
        <v>35</v>
      </c>
      <c r="C26" s="4" t="s">
        <v>28</v>
      </c>
      <c r="D26" s="10" t="s">
        <v>35</v>
      </c>
      <c r="E26" s="4" t="s">
        <v>83</v>
      </c>
      <c r="F26" s="10" t="s">
        <v>84</v>
      </c>
      <c r="G26" s="10" t="s">
        <v>46</v>
      </c>
      <c r="H26" s="4" t="s">
        <v>43</v>
      </c>
      <c r="I26" s="10">
        <v>6</v>
      </c>
      <c r="J26" s="10">
        <v>4</v>
      </c>
      <c r="K26" s="10">
        <v>5</v>
      </c>
      <c r="L26" s="10">
        <v>5</v>
      </c>
      <c r="M26" s="10">
        <v>3</v>
      </c>
      <c r="N26" s="10">
        <v>5</v>
      </c>
      <c r="O26" s="10">
        <v>5</v>
      </c>
      <c r="P26" s="10">
        <v>5</v>
      </c>
      <c r="Q26" s="10">
        <v>3</v>
      </c>
      <c r="R26" s="10">
        <v>5</v>
      </c>
      <c r="S26" s="10">
        <v>4</v>
      </c>
      <c r="T26" s="14">
        <v>4</v>
      </c>
    </row>
    <row r="27" spans="1:20" ht="15.75" customHeight="1" x14ac:dyDescent="0.25">
      <c r="A27" s="5">
        <v>45827.683871377318</v>
      </c>
      <c r="B27" s="11">
        <v>47</v>
      </c>
      <c r="C27" s="6" t="s">
        <v>28</v>
      </c>
      <c r="D27" s="11" t="s">
        <v>35</v>
      </c>
      <c r="E27" s="6" t="s">
        <v>85</v>
      </c>
      <c r="F27" s="11" t="s">
        <v>86</v>
      </c>
      <c r="G27" s="11" t="s">
        <v>46</v>
      </c>
      <c r="H27" s="6" t="s">
        <v>38</v>
      </c>
      <c r="I27" s="11">
        <v>5</v>
      </c>
      <c r="J27" s="11">
        <v>5</v>
      </c>
      <c r="K27" s="11">
        <v>5</v>
      </c>
      <c r="L27" s="11">
        <v>5</v>
      </c>
      <c r="M27" s="11">
        <v>4</v>
      </c>
      <c r="N27" s="11">
        <v>5</v>
      </c>
      <c r="O27" s="11">
        <v>5</v>
      </c>
      <c r="P27" s="11">
        <v>5</v>
      </c>
      <c r="Q27" s="11">
        <v>4</v>
      </c>
      <c r="R27" s="11">
        <v>5</v>
      </c>
      <c r="S27" s="11">
        <v>3</v>
      </c>
      <c r="T27" s="15">
        <v>4</v>
      </c>
    </row>
    <row r="28" spans="1:20" ht="15.75" customHeight="1" x14ac:dyDescent="0.25">
      <c r="A28" s="3">
        <v>45827.788578993059</v>
      </c>
      <c r="B28" s="10">
        <v>51</v>
      </c>
      <c r="C28" s="4" t="s">
        <v>28</v>
      </c>
      <c r="D28" s="10" t="s">
        <v>35</v>
      </c>
      <c r="E28" s="4" t="s">
        <v>87</v>
      </c>
      <c r="F28" s="10" t="s">
        <v>88</v>
      </c>
      <c r="G28" s="10" t="s">
        <v>42</v>
      </c>
      <c r="H28" s="6" t="s">
        <v>38</v>
      </c>
      <c r="I28" s="10">
        <v>1</v>
      </c>
      <c r="J28" s="10">
        <v>4</v>
      </c>
      <c r="K28" s="10">
        <v>4</v>
      </c>
      <c r="L28" s="10">
        <v>4</v>
      </c>
      <c r="M28" s="10">
        <v>2</v>
      </c>
      <c r="N28" s="10">
        <v>4</v>
      </c>
      <c r="O28" s="10">
        <v>3</v>
      </c>
      <c r="P28" s="10">
        <v>5</v>
      </c>
      <c r="Q28" s="10">
        <v>2</v>
      </c>
      <c r="R28" s="10">
        <v>3</v>
      </c>
      <c r="S28" s="10">
        <v>4</v>
      </c>
      <c r="T28" s="14">
        <v>4</v>
      </c>
    </row>
    <row r="29" spans="1:20" ht="15.75" customHeight="1" x14ac:dyDescent="0.25">
      <c r="A29" s="5">
        <v>45828.533464293985</v>
      </c>
      <c r="B29" s="11">
        <v>49</v>
      </c>
      <c r="C29" s="6" t="s">
        <v>28</v>
      </c>
      <c r="D29" s="11" t="s">
        <v>39</v>
      </c>
      <c r="E29" s="6" t="s">
        <v>89</v>
      </c>
      <c r="F29" s="11" t="s">
        <v>90</v>
      </c>
      <c r="G29" s="11" t="s">
        <v>32</v>
      </c>
      <c r="H29" s="4" t="s">
        <v>33</v>
      </c>
      <c r="I29" s="11">
        <v>7</v>
      </c>
      <c r="J29" s="11">
        <v>3</v>
      </c>
      <c r="K29" s="11">
        <v>3</v>
      </c>
      <c r="L29" s="11">
        <v>4</v>
      </c>
      <c r="M29" s="11">
        <v>4</v>
      </c>
      <c r="N29" s="11">
        <v>5</v>
      </c>
      <c r="O29" s="11">
        <v>5</v>
      </c>
      <c r="P29" s="11">
        <v>5</v>
      </c>
      <c r="Q29" s="11">
        <v>2</v>
      </c>
      <c r="R29" s="11">
        <v>5</v>
      </c>
      <c r="S29" s="11">
        <v>4</v>
      </c>
      <c r="T29" s="15">
        <v>4</v>
      </c>
    </row>
    <row r="30" spans="1:20" ht="15.75" customHeight="1" x14ac:dyDescent="0.25">
      <c r="A30" s="3">
        <v>45828.575346377314</v>
      </c>
      <c r="B30" s="10">
        <v>52</v>
      </c>
      <c r="C30" s="4" t="s">
        <v>28</v>
      </c>
      <c r="D30" s="10" t="s">
        <v>35</v>
      </c>
      <c r="E30" s="4" t="s">
        <v>91</v>
      </c>
      <c r="F30" s="10" t="s">
        <v>92</v>
      </c>
      <c r="G30" s="10" t="s">
        <v>32</v>
      </c>
      <c r="H30" s="6" t="s">
        <v>50</v>
      </c>
      <c r="I30" s="10">
        <v>1</v>
      </c>
      <c r="J30" s="10">
        <v>5</v>
      </c>
      <c r="K30" s="10">
        <v>5</v>
      </c>
      <c r="L30" s="10">
        <v>5</v>
      </c>
      <c r="M30" s="10">
        <v>3</v>
      </c>
      <c r="N30" s="10">
        <v>5</v>
      </c>
      <c r="O30" s="10">
        <v>5</v>
      </c>
      <c r="P30" s="10">
        <v>5</v>
      </c>
      <c r="Q30" s="10">
        <v>3</v>
      </c>
      <c r="R30" s="10">
        <v>4</v>
      </c>
      <c r="S30" s="10">
        <v>5</v>
      </c>
      <c r="T30" s="14">
        <v>5</v>
      </c>
    </row>
    <row r="31" spans="1:20" ht="15.75" customHeight="1" x14ac:dyDescent="0.25">
      <c r="A31" s="5">
        <v>45829.403823657412</v>
      </c>
      <c r="B31" s="11">
        <v>54</v>
      </c>
      <c r="C31" s="6" t="s">
        <v>28</v>
      </c>
      <c r="D31" s="11" t="s">
        <v>35</v>
      </c>
      <c r="E31" s="6" t="s">
        <v>93</v>
      </c>
      <c r="F31" s="11" t="s">
        <v>94</v>
      </c>
      <c r="G31" s="11" t="s">
        <v>46</v>
      </c>
      <c r="H31" s="6" t="s">
        <v>38</v>
      </c>
      <c r="I31" s="11" t="s">
        <v>95</v>
      </c>
      <c r="J31" s="11">
        <v>4</v>
      </c>
      <c r="K31" s="11">
        <v>4</v>
      </c>
      <c r="L31" s="11">
        <v>5</v>
      </c>
      <c r="M31" s="11">
        <v>5</v>
      </c>
      <c r="N31" s="11">
        <v>5</v>
      </c>
      <c r="O31" s="11">
        <v>3</v>
      </c>
      <c r="P31" s="11">
        <v>2</v>
      </c>
      <c r="Q31" s="11">
        <v>4</v>
      </c>
      <c r="R31" s="11">
        <v>2</v>
      </c>
      <c r="S31" s="11">
        <v>4</v>
      </c>
      <c r="T31" s="15">
        <v>4</v>
      </c>
    </row>
    <row r="32" spans="1:20" ht="15.75" customHeight="1" x14ac:dyDescent="0.25">
      <c r="A32" s="3">
        <v>45829.422735879634</v>
      </c>
      <c r="B32" s="10">
        <v>53</v>
      </c>
      <c r="C32" s="4" t="s">
        <v>28</v>
      </c>
      <c r="D32" s="10" t="s">
        <v>35</v>
      </c>
      <c r="E32" s="4" t="s">
        <v>96</v>
      </c>
      <c r="F32" s="10" t="s">
        <v>97</v>
      </c>
      <c r="G32" s="10" t="s">
        <v>46</v>
      </c>
      <c r="H32" s="6" t="s">
        <v>38</v>
      </c>
      <c r="I32" s="10">
        <v>5</v>
      </c>
      <c r="J32" s="10">
        <v>5</v>
      </c>
      <c r="K32" s="10">
        <v>5</v>
      </c>
      <c r="L32" s="10">
        <v>5</v>
      </c>
      <c r="M32" s="10">
        <v>4</v>
      </c>
      <c r="N32" s="10">
        <v>5</v>
      </c>
      <c r="O32" s="10">
        <v>5</v>
      </c>
      <c r="P32" s="10">
        <v>5</v>
      </c>
      <c r="Q32" s="10">
        <v>4</v>
      </c>
      <c r="R32" s="10">
        <v>5</v>
      </c>
      <c r="S32" s="10">
        <v>3</v>
      </c>
      <c r="T32" s="14">
        <v>3</v>
      </c>
    </row>
    <row r="33" spans="1:20" x14ac:dyDescent="0.25">
      <c r="A33" s="5">
        <v>45829.426283877314</v>
      </c>
      <c r="B33" s="11">
        <v>28</v>
      </c>
      <c r="C33" s="6" t="s">
        <v>28</v>
      </c>
      <c r="D33" s="11" t="s">
        <v>71</v>
      </c>
      <c r="E33" s="6" t="s">
        <v>98</v>
      </c>
      <c r="F33" s="11" t="s">
        <v>99</v>
      </c>
      <c r="G33" s="11" t="s">
        <v>46</v>
      </c>
      <c r="H33" s="4" t="s">
        <v>33</v>
      </c>
      <c r="I33" s="11">
        <v>1</v>
      </c>
      <c r="J33" s="11">
        <v>5</v>
      </c>
      <c r="K33" s="11">
        <v>5</v>
      </c>
      <c r="L33" s="11">
        <v>5</v>
      </c>
      <c r="M33" s="11">
        <v>4</v>
      </c>
      <c r="O33" s="11">
        <v>5</v>
      </c>
      <c r="P33" s="11">
        <v>5</v>
      </c>
      <c r="Q33" s="11">
        <v>4</v>
      </c>
      <c r="R33" s="11">
        <v>5</v>
      </c>
      <c r="S33" s="11">
        <v>2</v>
      </c>
      <c r="T33" s="15">
        <v>3</v>
      </c>
    </row>
    <row r="34" spans="1:20" x14ac:dyDescent="0.25">
      <c r="A34" s="3">
        <v>45829.428494965279</v>
      </c>
      <c r="B34" s="10">
        <v>55</v>
      </c>
      <c r="C34" s="4" t="s">
        <v>67</v>
      </c>
      <c r="D34" s="10" t="s">
        <v>35</v>
      </c>
      <c r="E34" s="4" t="s">
        <v>96</v>
      </c>
      <c r="F34" s="10" t="s">
        <v>100</v>
      </c>
      <c r="G34" s="10" t="s">
        <v>32</v>
      </c>
      <c r="H34" s="4" t="s">
        <v>43</v>
      </c>
      <c r="I34" s="10">
        <v>10</v>
      </c>
      <c r="J34" s="10">
        <v>4</v>
      </c>
      <c r="K34" s="10">
        <v>5</v>
      </c>
      <c r="L34" s="10">
        <v>5</v>
      </c>
      <c r="M34" s="10">
        <v>4</v>
      </c>
      <c r="N34" s="10">
        <v>4</v>
      </c>
      <c r="O34" s="10">
        <v>3</v>
      </c>
      <c r="P34" s="10">
        <v>4</v>
      </c>
      <c r="Q34" s="10">
        <v>2</v>
      </c>
      <c r="R34" s="10">
        <v>5</v>
      </c>
      <c r="S34" s="10">
        <v>5</v>
      </c>
      <c r="T34" s="14">
        <v>4</v>
      </c>
    </row>
    <row r="35" spans="1:20" x14ac:dyDescent="0.25">
      <c r="A35" s="5">
        <v>45829.430355173608</v>
      </c>
      <c r="B35" s="11">
        <v>45</v>
      </c>
      <c r="C35" s="6" t="s">
        <v>28</v>
      </c>
      <c r="D35" s="11" t="s">
        <v>35</v>
      </c>
      <c r="E35" s="6" t="s">
        <v>83</v>
      </c>
      <c r="F35" s="11" t="s">
        <v>101</v>
      </c>
      <c r="G35" s="11" t="s">
        <v>46</v>
      </c>
      <c r="H35" s="4" t="s">
        <v>43</v>
      </c>
      <c r="I35" s="11">
        <v>5</v>
      </c>
      <c r="J35" s="11">
        <v>5</v>
      </c>
      <c r="K35" s="11">
        <v>5</v>
      </c>
      <c r="L35" s="11">
        <v>5</v>
      </c>
      <c r="M35" s="11">
        <v>4</v>
      </c>
      <c r="N35" s="11">
        <v>5</v>
      </c>
      <c r="O35" s="11">
        <v>5</v>
      </c>
      <c r="P35" s="11">
        <v>5</v>
      </c>
      <c r="Q35" s="11">
        <v>3</v>
      </c>
      <c r="R35" s="11">
        <v>5</v>
      </c>
      <c r="S35" s="11">
        <v>3</v>
      </c>
      <c r="T35" s="15">
        <v>4</v>
      </c>
    </row>
    <row r="36" spans="1:20" x14ac:dyDescent="0.25">
      <c r="A36" s="3">
        <v>45829.969088055557</v>
      </c>
      <c r="B36" s="10">
        <v>54</v>
      </c>
      <c r="C36" s="4" t="s">
        <v>28</v>
      </c>
      <c r="D36" s="10" t="s">
        <v>35</v>
      </c>
      <c r="E36" s="4" t="s">
        <v>102</v>
      </c>
      <c r="F36" s="10" t="s">
        <v>103</v>
      </c>
      <c r="G36" s="10" t="s">
        <v>42</v>
      </c>
      <c r="H36" s="6" t="s">
        <v>38</v>
      </c>
      <c r="I36" s="10">
        <v>2</v>
      </c>
      <c r="J36" s="10">
        <v>4</v>
      </c>
      <c r="K36" s="10">
        <v>4</v>
      </c>
      <c r="L36" s="10">
        <v>4</v>
      </c>
      <c r="M36" s="10">
        <v>5</v>
      </c>
      <c r="N36" s="10">
        <v>5</v>
      </c>
      <c r="O36" s="10">
        <v>4</v>
      </c>
      <c r="P36" s="10">
        <v>4</v>
      </c>
      <c r="Q36" s="10">
        <v>3</v>
      </c>
      <c r="R36" s="10">
        <v>5</v>
      </c>
      <c r="S36" s="10">
        <v>4</v>
      </c>
      <c r="T36" s="14">
        <v>4</v>
      </c>
    </row>
    <row r="37" spans="1:20" x14ac:dyDescent="0.25">
      <c r="A37" s="5">
        <v>45830.407184641204</v>
      </c>
      <c r="B37" s="11">
        <v>57</v>
      </c>
      <c r="C37" s="6" t="s">
        <v>28</v>
      </c>
      <c r="D37" s="11" t="s">
        <v>39</v>
      </c>
      <c r="E37" s="6" t="s">
        <v>44</v>
      </c>
      <c r="F37" s="11" t="s">
        <v>104</v>
      </c>
      <c r="G37" s="11" t="s">
        <v>42</v>
      </c>
      <c r="H37" s="6" t="s">
        <v>38</v>
      </c>
      <c r="I37" s="11">
        <v>3</v>
      </c>
      <c r="J37" s="11">
        <v>3</v>
      </c>
      <c r="K37" s="11">
        <v>4</v>
      </c>
      <c r="L37" s="11">
        <v>4</v>
      </c>
      <c r="M37" s="11">
        <v>2</v>
      </c>
      <c r="N37" s="11">
        <v>4</v>
      </c>
      <c r="O37" s="11">
        <v>4</v>
      </c>
      <c r="P37" s="11">
        <v>4</v>
      </c>
      <c r="Q37" s="11">
        <v>2</v>
      </c>
      <c r="R37" s="11">
        <v>3</v>
      </c>
      <c r="S37" s="11">
        <v>4</v>
      </c>
      <c r="T37" s="15">
        <v>4</v>
      </c>
    </row>
    <row r="38" spans="1:20" x14ac:dyDescent="0.25">
      <c r="A38" s="3">
        <v>45830.421361805551</v>
      </c>
      <c r="B38" s="10">
        <v>58</v>
      </c>
      <c r="C38" s="4" t="s">
        <v>28</v>
      </c>
      <c r="D38" s="10" t="s">
        <v>39</v>
      </c>
      <c r="E38" s="4" t="s">
        <v>40</v>
      </c>
      <c r="F38" s="10" t="s">
        <v>105</v>
      </c>
      <c r="G38" s="10" t="s">
        <v>46</v>
      </c>
      <c r="H38" s="4" t="s">
        <v>43</v>
      </c>
      <c r="I38" s="10">
        <v>35</v>
      </c>
      <c r="J38" s="10">
        <v>3</v>
      </c>
      <c r="K38" s="10">
        <v>5</v>
      </c>
      <c r="L38" s="10">
        <v>4</v>
      </c>
      <c r="M38" s="10">
        <v>3</v>
      </c>
      <c r="N38" s="10">
        <v>5</v>
      </c>
      <c r="O38" s="10">
        <v>4</v>
      </c>
      <c r="P38" s="10">
        <v>4</v>
      </c>
      <c r="Q38" s="10">
        <v>5</v>
      </c>
      <c r="R38" s="10">
        <v>5</v>
      </c>
      <c r="S38" s="10">
        <v>4</v>
      </c>
      <c r="T38" s="14">
        <v>4</v>
      </c>
    </row>
    <row r="39" spans="1:20" x14ac:dyDescent="0.25">
      <c r="A39" s="5">
        <v>45830.423670324075</v>
      </c>
      <c r="B39" s="11">
        <v>56</v>
      </c>
      <c r="C39" s="6" t="s">
        <v>28</v>
      </c>
      <c r="D39" s="11" t="s">
        <v>39</v>
      </c>
      <c r="E39" s="6" t="s">
        <v>44</v>
      </c>
      <c r="F39" s="11" t="s">
        <v>106</v>
      </c>
      <c r="G39" s="11" t="s">
        <v>32</v>
      </c>
      <c r="H39" s="4" t="s">
        <v>33</v>
      </c>
      <c r="I39" s="11">
        <v>20</v>
      </c>
      <c r="J39" s="11">
        <v>4</v>
      </c>
      <c r="K39" s="11">
        <v>3</v>
      </c>
      <c r="L39" s="11">
        <v>4</v>
      </c>
      <c r="M39" s="11">
        <v>4</v>
      </c>
      <c r="N39" s="11">
        <v>4</v>
      </c>
      <c r="O39" s="11">
        <v>3</v>
      </c>
      <c r="P39" s="11">
        <v>4</v>
      </c>
      <c r="Q39" s="11">
        <v>4</v>
      </c>
      <c r="R39" s="11">
        <v>3</v>
      </c>
      <c r="S39" s="11">
        <v>4</v>
      </c>
      <c r="T39" s="15">
        <v>5</v>
      </c>
    </row>
    <row r="40" spans="1:20" x14ac:dyDescent="0.25">
      <c r="A40" s="3">
        <v>45830.428723206016</v>
      </c>
      <c r="B40" s="10">
        <v>62</v>
      </c>
      <c r="C40" s="4" t="s">
        <v>67</v>
      </c>
      <c r="D40" s="10" t="s">
        <v>35</v>
      </c>
      <c r="E40" s="4" t="s">
        <v>75</v>
      </c>
      <c r="F40" s="10" t="s">
        <v>54</v>
      </c>
      <c r="G40" s="10" t="s">
        <v>46</v>
      </c>
      <c r="H40" s="6" t="s">
        <v>50</v>
      </c>
      <c r="I40" s="10">
        <v>0</v>
      </c>
      <c r="J40" s="10">
        <v>4</v>
      </c>
      <c r="K40" s="10">
        <v>5</v>
      </c>
      <c r="L40" s="10">
        <v>4</v>
      </c>
      <c r="M40" s="10">
        <v>5</v>
      </c>
      <c r="N40" s="10">
        <v>5</v>
      </c>
      <c r="O40" s="10">
        <v>5</v>
      </c>
      <c r="P40" s="10">
        <v>5</v>
      </c>
      <c r="Q40" s="10">
        <v>4</v>
      </c>
      <c r="R40" s="10">
        <v>5</v>
      </c>
      <c r="S40" s="10">
        <v>2</v>
      </c>
      <c r="T40" s="14">
        <v>5</v>
      </c>
    </row>
    <row r="41" spans="1:20" x14ac:dyDescent="0.25">
      <c r="A41" s="5">
        <v>45830.434751643523</v>
      </c>
      <c r="B41" s="11">
        <v>61</v>
      </c>
      <c r="C41" s="6" t="s">
        <v>28</v>
      </c>
      <c r="D41" s="11" t="s">
        <v>35</v>
      </c>
      <c r="E41" s="6" t="s">
        <v>107</v>
      </c>
      <c r="F41" s="11" t="s">
        <v>54</v>
      </c>
      <c r="G41" s="11" t="s">
        <v>46</v>
      </c>
      <c r="H41" s="4" t="s">
        <v>33</v>
      </c>
      <c r="I41" s="11">
        <v>3</v>
      </c>
      <c r="J41" s="11">
        <v>5</v>
      </c>
      <c r="K41" s="11">
        <v>5</v>
      </c>
      <c r="L41" s="11">
        <v>2</v>
      </c>
      <c r="M41" s="11">
        <v>4</v>
      </c>
      <c r="N41" s="11">
        <v>5</v>
      </c>
      <c r="O41" s="11">
        <v>5</v>
      </c>
      <c r="P41" s="11">
        <v>5</v>
      </c>
      <c r="Q41" s="11">
        <v>3</v>
      </c>
      <c r="R41" s="11">
        <v>4</v>
      </c>
      <c r="S41" s="11">
        <v>2</v>
      </c>
      <c r="T41" s="15">
        <v>2</v>
      </c>
    </row>
    <row r="42" spans="1:20" x14ac:dyDescent="0.25">
      <c r="A42" s="3">
        <v>45830.442548831023</v>
      </c>
      <c r="B42" s="10">
        <v>54</v>
      </c>
      <c r="C42" s="4" t="s">
        <v>67</v>
      </c>
      <c r="D42" s="10" t="s">
        <v>71</v>
      </c>
      <c r="E42" s="4" t="s">
        <v>77</v>
      </c>
      <c r="F42" s="10" t="s">
        <v>108</v>
      </c>
      <c r="G42" s="10" t="s">
        <v>32</v>
      </c>
      <c r="H42" s="6" t="s">
        <v>38</v>
      </c>
      <c r="I42" s="10" t="s">
        <v>109</v>
      </c>
      <c r="J42" s="10">
        <v>4</v>
      </c>
      <c r="K42" s="10">
        <v>5</v>
      </c>
      <c r="L42" s="10">
        <v>3</v>
      </c>
      <c r="M42" s="10">
        <v>4</v>
      </c>
      <c r="N42" s="10">
        <v>3</v>
      </c>
      <c r="O42" s="10">
        <v>3</v>
      </c>
      <c r="P42" s="10">
        <v>5</v>
      </c>
      <c r="Q42" s="10">
        <v>3</v>
      </c>
      <c r="R42" s="10">
        <v>4</v>
      </c>
      <c r="S42" s="10">
        <v>4</v>
      </c>
      <c r="T42" s="14">
        <v>4</v>
      </c>
    </row>
    <row r="43" spans="1:20" x14ac:dyDescent="0.25">
      <c r="A43" s="5">
        <v>45830.476283599535</v>
      </c>
      <c r="B43" s="11">
        <v>60</v>
      </c>
      <c r="C43" s="6" t="s">
        <v>67</v>
      </c>
      <c r="D43" s="11" t="s">
        <v>35</v>
      </c>
      <c r="E43" s="6" t="s">
        <v>110</v>
      </c>
      <c r="F43" s="11" t="s">
        <v>54</v>
      </c>
      <c r="G43" s="11" t="s">
        <v>32</v>
      </c>
      <c r="H43" s="6" t="s">
        <v>50</v>
      </c>
      <c r="I43" s="11">
        <v>1</v>
      </c>
      <c r="J43" s="11">
        <v>2</v>
      </c>
      <c r="K43" s="11">
        <v>4</v>
      </c>
      <c r="L43" s="11">
        <v>4</v>
      </c>
      <c r="M43" s="11">
        <v>4</v>
      </c>
      <c r="N43" s="11">
        <v>4</v>
      </c>
      <c r="O43" s="11">
        <v>3</v>
      </c>
      <c r="P43" s="11">
        <v>2</v>
      </c>
      <c r="Q43" s="11">
        <v>2</v>
      </c>
      <c r="R43" s="11">
        <v>4</v>
      </c>
      <c r="S43" s="11">
        <v>4</v>
      </c>
      <c r="T43" s="15">
        <v>4</v>
      </c>
    </row>
    <row r="44" spans="1:20" x14ac:dyDescent="0.25">
      <c r="A44" s="3">
        <v>45830.527453553237</v>
      </c>
      <c r="B44" s="10">
        <v>52</v>
      </c>
      <c r="C44" s="4" t="s">
        <v>28</v>
      </c>
      <c r="D44" s="10" t="s">
        <v>35</v>
      </c>
      <c r="E44" s="4" t="s">
        <v>111</v>
      </c>
      <c r="F44" s="10" t="s">
        <v>112</v>
      </c>
      <c r="G44" s="10" t="s">
        <v>46</v>
      </c>
      <c r="H44" s="6" t="s">
        <v>50</v>
      </c>
      <c r="I44" s="10">
        <v>1</v>
      </c>
      <c r="J44" s="10">
        <v>4</v>
      </c>
      <c r="K44" s="10">
        <v>5</v>
      </c>
      <c r="L44" s="10">
        <v>4</v>
      </c>
      <c r="M44" s="10">
        <v>2</v>
      </c>
      <c r="N44" s="10">
        <v>5</v>
      </c>
      <c r="O44" s="10">
        <v>3</v>
      </c>
      <c r="P44" s="10">
        <v>5</v>
      </c>
      <c r="Q44" s="10">
        <v>4</v>
      </c>
      <c r="R44" s="10">
        <v>5</v>
      </c>
      <c r="S44" s="10">
        <v>4</v>
      </c>
      <c r="T44" s="14">
        <v>5</v>
      </c>
    </row>
    <row r="45" spans="1:20" x14ac:dyDescent="0.25">
      <c r="A45" s="5">
        <v>45830.551162326388</v>
      </c>
      <c r="B45" s="11">
        <v>60</v>
      </c>
      <c r="C45" s="6" t="s">
        <v>28</v>
      </c>
      <c r="D45" s="11" t="s">
        <v>39</v>
      </c>
      <c r="E45" s="6" t="s">
        <v>44</v>
      </c>
      <c r="F45" s="11" t="s">
        <v>54</v>
      </c>
      <c r="G45" s="11" t="s">
        <v>46</v>
      </c>
      <c r="H45" s="6" t="s">
        <v>50</v>
      </c>
      <c r="I45" s="11">
        <v>1</v>
      </c>
      <c r="J45" s="11">
        <v>3</v>
      </c>
      <c r="K45" s="11">
        <v>3</v>
      </c>
      <c r="L45" s="11">
        <v>3</v>
      </c>
      <c r="M45" s="11">
        <v>3</v>
      </c>
      <c r="N45" s="11">
        <v>4</v>
      </c>
      <c r="O45" s="11">
        <v>4</v>
      </c>
      <c r="P45" s="11">
        <v>5</v>
      </c>
      <c r="Q45" s="11">
        <v>5</v>
      </c>
      <c r="R45" s="11">
        <v>5</v>
      </c>
      <c r="S45" s="11">
        <v>5</v>
      </c>
      <c r="T45" s="15">
        <v>3</v>
      </c>
    </row>
    <row r="46" spans="1:20" x14ac:dyDescent="0.25">
      <c r="A46" s="3">
        <v>45830.567005914352</v>
      </c>
      <c r="B46" s="10">
        <v>56</v>
      </c>
      <c r="C46" s="4" t="s">
        <v>28</v>
      </c>
      <c r="D46" s="10" t="s">
        <v>71</v>
      </c>
      <c r="E46" s="4" t="s">
        <v>113</v>
      </c>
      <c r="F46" s="10" t="s">
        <v>114</v>
      </c>
      <c r="G46" s="10" t="s">
        <v>32</v>
      </c>
      <c r="H46" s="4" t="s">
        <v>33</v>
      </c>
      <c r="I46" s="10" t="s">
        <v>115</v>
      </c>
      <c r="J46" s="10">
        <v>5</v>
      </c>
      <c r="K46" s="10">
        <v>5</v>
      </c>
      <c r="L46" s="10">
        <v>5</v>
      </c>
      <c r="M46" s="10">
        <v>4</v>
      </c>
      <c r="N46" s="10">
        <v>5</v>
      </c>
      <c r="O46" s="10">
        <v>5</v>
      </c>
      <c r="P46" s="10">
        <v>5</v>
      </c>
      <c r="Q46" s="10">
        <v>5</v>
      </c>
      <c r="R46" s="10">
        <v>5</v>
      </c>
      <c r="S46" s="10">
        <v>4</v>
      </c>
      <c r="T46" s="14">
        <v>4</v>
      </c>
    </row>
    <row r="47" spans="1:20" x14ac:dyDescent="0.25">
      <c r="A47" s="5">
        <v>45830.655432002313</v>
      </c>
      <c r="B47" s="11">
        <v>52</v>
      </c>
      <c r="C47" s="6" t="s">
        <v>28</v>
      </c>
      <c r="D47" s="11" t="s">
        <v>35</v>
      </c>
      <c r="E47" s="6" t="s">
        <v>116</v>
      </c>
      <c r="F47" s="11" t="s">
        <v>117</v>
      </c>
      <c r="G47" s="11" t="s">
        <v>46</v>
      </c>
      <c r="H47" s="6" t="s">
        <v>38</v>
      </c>
      <c r="I47" s="11">
        <v>2</v>
      </c>
      <c r="J47" s="11">
        <v>3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3</v>
      </c>
      <c r="R47" s="11">
        <v>4</v>
      </c>
      <c r="S47" s="11">
        <v>2</v>
      </c>
      <c r="T47" s="15">
        <v>4</v>
      </c>
    </row>
    <row r="48" spans="1:20" x14ac:dyDescent="0.25">
      <c r="A48" s="3">
        <v>45830.671742673614</v>
      </c>
      <c r="B48" s="10">
        <v>76</v>
      </c>
      <c r="C48" s="4" t="s">
        <v>28</v>
      </c>
      <c r="D48" s="10" t="s">
        <v>29</v>
      </c>
      <c r="E48" s="4" t="s">
        <v>118</v>
      </c>
      <c r="F48" s="10" t="s">
        <v>119</v>
      </c>
      <c r="G48" s="10" t="s">
        <v>46</v>
      </c>
      <c r="H48" s="6" t="s">
        <v>50</v>
      </c>
      <c r="I48" s="10" t="s">
        <v>109</v>
      </c>
      <c r="J48" s="10">
        <v>5</v>
      </c>
      <c r="K48" s="10">
        <v>5</v>
      </c>
      <c r="L48" s="10">
        <v>5</v>
      </c>
      <c r="M48" s="10">
        <v>2</v>
      </c>
      <c r="N48" s="10">
        <v>5</v>
      </c>
      <c r="O48" s="10">
        <v>4</v>
      </c>
      <c r="P48" s="10">
        <v>5</v>
      </c>
      <c r="Q48" s="10">
        <v>5</v>
      </c>
      <c r="R48" s="10">
        <v>3</v>
      </c>
      <c r="S48" s="10">
        <v>5</v>
      </c>
      <c r="T48" s="14">
        <v>3</v>
      </c>
    </row>
    <row r="49" spans="1:20" x14ac:dyDescent="0.25">
      <c r="A49" s="5">
        <v>45830.712882708336</v>
      </c>
      <c r="B49" s="11">
        <v>42</v>
      </c>
      <c r="C49" s="6" t="s">
        <v>67</v>
      </c>
      <c r="D49" s="11" t="s">
        <v>35</v>
      </c>
      <c r="E49" s="6" t="s">
        <v>120</v>
      </c>
      <c r="F49" s="11" t="s">
        <v>121</v>
      </c>
      <c r="G49" s="11" t="s">
        <v>32</v>
      </c>
      <c r="H49" s="6" t="s">
        <v>38</v>
      </c>
      <c r="I49" s="11" t="s">
        <v>122</v>
      </c>
      <c r="J49" s="11">
        <v>5</v>
      </c>
      <c r="K49" s="11">
        <v>4</v>
      </c>
      <c r="L49" s="11">
        <v>5</v>
      </c>
      <c r="M49" s="11">
        <v>1</v>
      </c>
      <c r="N49" s="11">
        <v>5</v>
      </c>
      <c r="O49" s="11">
        <v>4</v>
      </c>
      <c r="P49" s="11">
        <v>4</v>
      </c>
      <c r="Q49" s="11">
        <v>3</v>
      </c>
      <c r="R49" s="11">
        <v>5</v>
      </c>
      <c r="S49" s="11">
        <v>3</v>
      </c>
      <c r="T49" s="15">
        <v>4</v>
      </c>
    </row>
    <row r="50" spans="1:20" x14ac:dyDescent="0.25">
      <c r="A50" s="3">
        <v>45830.742125983801</v>
      </c>
      <c r="B50" s="10">
        <v>67</v>
      </c>
      <c r="C50" s="4" t="s">
        <v>28</v>
      </c>
      <c r="D50" s="10" t="s">
        <v>71</v>
      </c>
      <c r="E50" s="4" t="s">
        <v>123</v>
      </c>
      <c r="F50" s="10" t="s">
        <v>124</v>
      </c>
      <c r="G50" s="10" t="s">
        <v>32</v>
      </c>
      <c r="H50" s="6" t="s">
        <v>38</v>
      </c>
      <c r="I50" s="10">
        <v>1</v>
      </c>
      <c r="J50" s="10">
        <v>4</v>
      </c>
      <c r="K50" s="10">
        <v>5</v>
      </c>
      <c r="L50" s="10">
        <v>4</v>
      </c>
      <c r="M50" s="10">
        <v>2</v>
      </c>
      <c r="N50" s="10">
        <v>5</v>
      </c>
      <c r="O50" s="10">
        <v>4</v>
      </c>
      <c r="P50" s="10">
        <v>5</v>
      </c>
      <c r="Q50" s="10">
        <v>4</v>
      </c>
      <c r="R50" s="10">
        <v>4</v>
      </c>
      <c r="S50" s="10">
        <v>2</v>
      </c>
      <c r="T50" s="14">
        <v>2</v>
      </c>
    </row>
    <row r="51" spans="1:20" x14ac:dyDescent="0.25">
      <c r="A51" s="5">
        <v>45830.783943344912</v>
      </c>
      <c r="B51" s="11">
        <v>57</v>
      </c>
      <c r="C51" s="6" t="s">
        <v>67</v>
      </c>
      <c r="D51" s="11" t="s">
        <v>39</v>
      </c>
      <c r="E51" s="6" t="s">
        <v>44</v>
      </c>
      <c r="F51" s="11" t="s">
        <v>125</v>
      </c>
      <c r="G51" s="11" t="s">
        <v>32</v>
      </c>
      <c r="H51" s="4" t="s">
        <v>33</v>
      </c>
      <c r="I51" s="11">
        <v>6</v>
      </c>
      <c r="J51" s="11">
        <v>4</v>
      </c>
      <c r="K51" s="11">
        <v>5</v>
      </c>
      <c r="L51" s="11">
        <v>4</v>
      </c>
      <c r="M51" s="11">
        <v>3</v>
      </c>
      <c r="N51" s="11">
        <v>4</v>
      </c>
      <c r="O51" s="11">
        <v>2</v>
      </c>
      <c r="P51" s="11">
        <v>4</v>
      </c>
      <c r="Q51" s="11">
        <v>4</v>
      </c>
      <c r="R51" s="11">
        <v>4</v>
      </c>
      <c r="S51" s="11">
        <v>4</v>
      </c>
      <c r="T51" s="15">
        <v>4</v>
      </c>
    </row>
    <row r="52" spans="1:20" x14ac:dyDescent="0.25">
      <c r="A52" s="3">
        <v>45830.909531030091</v>
      </c>
      <c r="B52" s="10">
        <v>43</v>
      </c>
      <c r="C52" s="4" t="s">
        <v>28</v>
      </c>
      <c r="D52" s="10" t="s">
        <v>35</v>
      </c>
      <c r="E52" s="4" t="s">
        <v>126</v>
      </c>
      <c r="F52" s="10" t="s">
        <v>59</v>
      </c>
      <c r="G52" s="10" t="s">
        <v>32</v>
      </c>
      <c r="H52" s="4" t="s">
        <v>33</v>
      </c>
      <c r="I52" s="10">
        <v>2</v>
      </c>
      <c r="J52" s="10">
        <v>4</v>
      </c>
      <c r="K52" s="10">
        <v>4</v>
      </c>
      <c r="L52" s="10">
        <v>5</v>
      </c>
      <c r="M52" s="10">
        <v>5</v>
      </c>
      <c r="N52" s="10">
        <v>3</v>
      </c>
      <c r="O52" s="10">
        <v>3</v>
      </c>
      <c r="P52" s="10">
        <v>4</v>
      </c>
      <c r="Q52" s="10">
        <v>2</v>
      </c>
      <c r="R52" s="10">
        <v>3</v>
      </c>
      <c r="S52" s="10">
        <v>2</v>
      </c>
      <c r="T52" s="14">
        <v>4</v>
      </c>
    </row>
    <row r="53" spans="1:20" x14ac:dyDescent="0.25">
      <c r="A53" s="5">
        <v>45832.988460266206</v>
      </c>
      <c r="B53" s="11">
        <v>53</v>
      </c>
      <c r="C53" s="6" t="s">
        <v>67</v>
      </c>
      <c r="D53" s="11" t="s">
        <v>39</v>
      </c>
      <c r="E53" s="6" t="s">
        <v>44</v>
      </c>
      <c r="F53" s="11" t="s">
        <v>127</v>
      </c>
      <c r="G53" s="11" t="s">
        <v>32</v>
      </c>
      <c r="H53" s="6" t="s">
        <v>50</v>
      </c>
      <c r="I53" s="11">
        <v>1</v>
      </c>
      <c r="J53" s="11">
        <v>3</v>
      </c>
      <c r="K53" s="11">
        <v>5</v>
      </c>
      <c r="L53" s="11">
        <v>5</v>
      </c>
      <c r="M53" s="11">
        <v>4</v>
      </c>
      <c r="N53" s="11">
        <v>5</v>
      </c>
      <c r="O53" s="11">
        <v>4</v>
      </c>
      <c r="P53" s="11">
        <v>5</v>
      </c>
      <c r="Q53" s="11">
        <v>5</v>
      </c>
      <c r="R53" s="11">
        <v>5</v>
      </c>
      <c r="S53" s="11">
        <v>3</v>
      </c>
      <c r="T53" s="15">
        <v>4</v>
      </c>
    </row>
    <row r="54" spans="1:20" x14ac:dyDescent="0.25">
      <c r="A54" s="3">
        <v>45835.362927546295</v>
      </c>
      <c r="B54" s="10">
        <v>50</v>
      </c>
      <c r="C54" s="4" t="s">
        <v>28</v>
      </c>
      <c r="D54" s="10" t="s">
        <v>35</v>
      </c>
      <c r="E54" s="4" t="s">
        <v>47</v>
      </c>
      <c r="F54" s="10" t="s">
        <v>54</v>
      </c>
      <c r="G54" s="10" t="s">
        <v>42</v>
      </c>
      <c r="H54" s="6" t="s">
        <v>50</v>
      </c>
      <c r="I54" s="10">
        <v>2</v>
      </c>
      <c r="K54" s="10">
        <v>5</v>
      </c>
      <c r="L54" s="10">
        <v>5</v>
      </c>
      <c r="M54" s="10">
        <v>3</v>
      </c>
      <c r="N54" s="10">
        <v>5</v>
      </c>
      <c r="O54" s="10">
        <v>3</v>
      </c>
      <c r="P54" s="10">
        <v>5</v>
      </c>
      <c r="Q54" s="10">
        <v>3</v>
      </c>
      <c r="R54" s="10">
        <v>5</v>
      </c>
      <c r="S54" s="10">
        <v>5</v>
      </c>
      <c r="T54" s="14">
        <v>5</v>
      </c>
    </row>
    <row r="55" spans="1:20" x14ac:dyDescent="0.25">
      <c r="A55" s="5">
        <v>45836.643357824076</v>
      </c>
      <c r="B55" s="11">
        <v>60</v>
      </c>
      <c r="C55" s="6" t="s">
        <v>67</v>
      </c>
      <c r="D55" s="11" t="s">
        <v>71</v>
      </c>
      <c r="E55" s="6" t="s">
        <v>77</v>
      </c>
      <c r="F55" s="11" t="s">
        <v>128</v>
      </c>
      <c r="G55" s="11" t="s">
        <v>46</v>
      </c>
      <c r="H55" s="6" t="s">
        <v>38</v>
      </c>
      <c r="I55" s="11" t="s">
        <v>109</v>
      </c>
      <c r="J55" s="11">
        <v>3</v>
      </c>
      <c r="K55" s="11">
        <v>5</v>
      </c>
      <c r="L55" s="11">
        <v>3</v>
      </c>
      <c r="M55" s="11">
        <v>3</v>
      </c>
      <c r="N55" s="11">
        <v>5</v>
      </c>
      <c r="O55" s="11">
        <v>3</v>
      </c>
      <c r="P55" s="11">
        <v>3</v>
      </c>
      <c r="Q55" s="11">
        <v>4</v>
      </c>
      <c r="R55" s="11">
        <v>1</v>
      </c>
      <c r="S55" s="11">
        <v>4</v>
      </c>
      <c r="T55" s="15">
        <v>4</v>
      </c>
    </row>
    <row r="56" spans="1:20" x14ac:dyDescent="0.25">
      <c r="A56" s="3">
        <v>45837.327635891204</v>
      </c>
      <c r="B56" s="10">
        <v>51</v>
      </c>
      <c r="C56" s="4" t="s">
        <v>28</v>
      </c>
      <c r="D56" s="10" t="s">
        <v>39</v>
      </c>
      <c r="E56" s="4" t="s">
        <v>44</v>
      </c>
      <c r="F56" s="10" t="s">
        <v>53</v>
      </c>
      <c r="G56" s="10" t="s">
        <v>42</v>
      </c>
      <c r="H56" s="6" t="s">
        <v>38</v>
      </c>
      <c r="I56" s="10">
        <v>3</v>
      </c>
      <c r="J56" s="10">
        <v>5</v>
      </c>
      <c r="K56" s="10">
        <v>5</v>
      </c>
      <c r="L56" s="10">
        <v>4</v>
      </c>
      <c r="M56" s="10">
        <v>3</v>
      </c>
      <c r="N56" s="10">
        <v>5</v>
      </c>
      <c r="O56" s="10">
        <v>5</v>
      </c>
      <c r="P56" s="10">
        <v>5</v>
      </c>
      <c r="Q56" s="10">
        <v>5</v>
      </c>
      <c r="R56" s="10">
        <v>5</v>
      </c>
      <c r="S56" s="10">
        <v>4</v>
      </c>
      <c r="T56" s="14">
        <v>3</v>
      </c>
    </row>
    <row r="57" spans="1:20" x14ac:dyDescent="0.25">
      <c r="A57" s="5">
        <v>45839.60446018519</v>
      </c>
      <c r="B57" s="11">
        <v>34</v>
      </c>
      <c r="C57" s="6" t="s">
        <v>67</v>
      </c>
      <c r="D57" s="11" t="s">
        <v>71</v>
      </c>
      <c r="E57" s="6" t="s">
        <v>113</v>
      </c>
      <c r="F57" s="11" t="s">
        <v>129</v>
      </c>
      <c r="G57" s="11" t="s">
        <v>32</v>
      </c>
      <c r="H57" s="4" t="s">
        <v>33</v>
      </c>
      <c r="I57" s="11">
        <v>3</v>
      </c>
      <c r="J57" s="11">
        <v>5</v>
      </c>
      <c r="K57" s="11">
        <v>5</v>
      </c>
      <c r="L57" s="11">
        <v>5</v>
      </c>
      <c r="M57" s="11">
        <v>5</v>
      </c>
      <c r="N57" s="11">
        <v>5</v>
      </c>
      <c r="O57" s="11">
        <v>5</v>
      </c>
      <c r="P57" s="11">
        <v>5</v>
      </c>
      <c r="Q57" s="11">
        <v>5</v>
      </c>
      <c r="R57" s="11">
        <v>5</v>
      </c>
      <c r="S57" s="11">
        <v>5</v>
      </c>
      <c r="T57" s="15">
        <v>5</v>
      </c>
    </row>
    <row r="58" spans="1:20" x14ac:dyDescent="0.25">
      <c r="A58" s="3">
        <v>45840.647138969907</v>
      </c>
      <c r="B58" s="10">
        <v>46</v>
      </c>
      <c r="C58" s="4" t="s">
        <v>67</v>
      </c>
      <c r="D58" s="10" t="s">
        <v>35</v>
      </c>
      <c r="E58" s="4" t="s">
        <v>130</v>
      </c>
      <c r="F58" s="10" t="s">
        <v>131</v>
      </c>
      <c r="G58" s="10" t="s">
        <v>32</v>
      </c>
      <c r="H58" s="6" t="s">
        <v>38</v>
      </c>
      <c r="I58" s="10">
        <v>9</v>
      </c>
      <c r="J58" s="10">
        <v>4</v>
      </c>
      <c r="K58" s="10">
        <v>5</v>
      </c>
      <c r="L58" s="10">
        <v>5</v>
      </c>
      <c r="M58" s="10">
        <v>3</v>
      </c>
      <c r="N58" s="10">
        <v>5</v>
      </c>
      <c r="O58" s="10">
        <v>4</v>
      </c>
      <c r="P58" s="10">
        <v>5</v>
      </c>
      <c r="Q58" s="10">
        <v>4</v>
      </c>
      <c r="R58" s="10">
        <v>5</v>
      </c>
      <c r="S58" s="10">
        <v>3</v>
      </c>
      <c r="T58" s="14">
        <v>4</v>
      </c>
    </row>
    <row r="59" spans="1:20" x14ac:dyDescent="0.25">
      <c r="A59" s="7">
        <v>45854.699204201388</v>
      </c>
      <c r="B59" s="12">
        <v>49</v>
      </c>
      <c r="C59" s="8" t="s">
        <v>28</v>
      </c>
      <c r="D59" s="12" t="s">
        <v>39</v>
      </c>
      <c r="E59" s="8" t="s">
        <v>52</v>
      </c>
      <c r="F59" s="12" t="s">
        <v>48</v>
      </c>
      <c r="G59" s="12" t="s">
        <v>42</v>
      </c>
      <c r="H59" s="6" t="s">
        <v>50</v>
      </c>
      <c r="I59" s="12">
        <v>2</v>
      </c>
      <c r="J59" s="12">
        <v>2</v>
      </c>
      <c r="K59" s="12">
        <v>4</v>
      </c>
      <c r="L59" s="12">
        <v>4</v>
      </c>
      <c r="M59" s="12">
        <v>3</v>
      </c>
      <c r="N59" s="12">
        <v>4</v>
      </c>
      <c r="O59" s="12">
        <v>4</v>
      </c>
      <c r="P59" s="12">
        <v>3</v>
      </c>
      <c r="Q59" s="12">
        <v>5</v>
      </c>
      <c r="R59" s="12">
        <v>4</v>
      </c>
      <c r="S59" s="12">
        <v>4</v>
      </c>
      <c r="T59" s="16">
        <v>4</v>
      </c>
    </row>
    <row r="60" spans="1:20" ht="15.75" customHeight="1" x14ac:dyDescent="0.25"/>
    <row r="61" spans="1:20" ht="15.75" customHeight="1" x14ac:dyDescent="0.3">
      <c r="A61" s="17"/>
      <c r="I61" s="31" t="s">
        <v>132</v>
      </c>
      <c r="J61" s="27">
        <f t="shared" ref="J61:T61" si="0">COUNT(J2:J59)</f>
        <v>57</v>
      </c>
      <c r="K61" s="21">
        <f t="shared" si="0"/>
        <v>58</v>
      </c>
      <c r="L61" s="21">
        <f t="shared" si="0"/>
        <v>58</v>
      </c>
      <c r="M61" s="21">
        <f t="shared" si="0"/>
        <v>58</v>
      </c>
      <c r="N61" s="21">
        <f t="shared" si="0"/>
        <v>57</v>
      </c>
      <c r="O61" s="21">
        <f t="shared" si="0"/>
        <v>58</v>
      </c>
      <c r="P61" s="21">
        <f t="shared" si="0"/>
        <v>58</v>
      </c>
      <c r="Q61" s="21">
        <f t="shared" si="0"/>
        <v>58</v>
      </c>
      <c r="R61" s="21">
        <f t="shared" si="0"/>
        <v>58</v>
      </c>
      <c r="S61" s="21">
        <f t="shared" si="0"/>
        <v>57</v>
      </c>
      <c r="T61" s="22">
        <f t="shared" si="0"/>
        <v>58</v>
      </c>
    </row>
    <row r="62" spans="1:20" ht="15.75" customHeight="1" x14ac:dyDescent="0.3">
      <c r="A62" s="17"/>
      <c r="I62" s="32" t="s">
        <v>133</v>
      </c>
      <c r="J62" s="28">
        <f t="shared" ref="J62:T62" si="1">AVERAGE(J2:J59)</f>
        <v>4.1403508771929829</v>
      </c>
      <c r="K62" s="20">
        <f t="shared" si="1"/>
        <v>4.5517241379310347</v>
      </c>
      <c r="L62" s="20">
        <f t="shared" si="1"/>
        <v>4.3275862068965516</v>
      </c>
      <c r="M62" s="20">
        <f t="shared" si="1"/>
        <v>3.396551724137931</v>
      </c>
      <c r="N62" s="20">
        <f t="shared" si="1"/>
        <v>4.5789473684210522</v>
      </c>
      <c r="O62" s="20">
        <f t="shared" si="1"/>
        <v>3.9827586206896552</v>
      </c>
      <c r="P62" s="20">
        <f t="shared" si="1"/>
        <v>4.5</v>
      </c>
      <c r="Q62" s="20">
        <f t="shared" si="1"/>
        <v>3.6379310344827585</v>
      </c>
      <c r="R62" s="20">
        <f t="shared" si="1"/>
        <v>4.3103448275862073</v>
      </c>
      <c r="S62" s="20">
        <f t="shared" si="1"/>
        <v>3.4561403508771931</v>
      </c>
      <c r="T62" s="23">
        <f t="shared" si="1"/>
        <v>3.8448275862068964</v>
      </c>
    </row>
    <row r="63" spans="1:20" ht="15.75" customHeight="1" x14ac:dyDescent="0.3">
      <c r="A63" s="17"/>
      <c r="I63" s="32" t="s">
        <v>134</v>
      </c>
      <c r="J63" s="28">
        <f>_xlfn.STDEV.P(J2:J59)</f>
        <v>0.80434339553316847</v>
      </c>
      <c r="K63" s="20">
        <f t="shared" ref="K63:T63" si="2">_xlfn.STDEV.P(K2:K59)</f>
        <v>0.64787221476054946</v>
      </c>
      <c r="L63" s="20">
        <f t="shared" si="2"/>
        <v>0.81764866906064659</v>
      </c>
      <c r="M63" s="20">
        <f t="shared" si="2"/>
        <v>0.92735543854208302</v>
      </c>
      <c r="N63" s="20">
        <f t="shared" si="2"/>
        <v>0.64746112586827842</v>
      </c>
      <c r="O63" s="20">
        <f t="shared" si="2"/>
        <v>0.90002642318194404</v>
      </c>
      <c r="P63" s="20">
        <f t="shared" si="2"/>
        <v>0.79329083243636833</v>
      </c>
      <c r="Q63" s="20">
        <f t="shared" si="2"/>
        <v>1.0119676269537372</v>
      </c>
      <c r="R63" s="20">
        <f t="shared" si="2"/>
        <v>0.93231074721350171</v>
      </c>
      <c r="S63" s="20">
        <f t="shared" si="2"/>
        <v>0.99243057008638247</v>
      </c>
      <c r="T63" s="23">
        <f t="shared" si="2"/>
        <v>0.73816464236578083</v>
      </c>
    </row>
    <row r="64" spans="1:20" ht="15.75" customHeight="1" x14ac:dyDescent="0.3">
      <c r="A64" s="17"/>
      <c r="I64" s="32" t="s">
        <v>135</v>
      </c>
      <c r="J64" s="29">
        <f>MIN(J2:J59)</f>
        <v>2</v>
      </c>
      <c r="K64" s="19">
        <f t="shared" ref="K64:T64" si="3">MIN(K2:K59)</f>
        <v>3</v>
      </c>
      <c r="L64" s="19">
        <f t="shared" si="3"/>
        <v>2</v>
      </c>
      <c r="M64" s="19">
        <f t="shared" si="3"/>
        <v>1</v>
      </c>
      <c r="N64" s="19">
        <f t="shared" si="3"/>
        <v>2</v>
      </c>
      <c r="O64" s="19">
        <f t="shared" si="3"/>
        <v>2</v>
      </c>
      <c r="P64" s="19">
        <f t="shared" si="3"/>
        <v>2</v>
      </c>
      <c r="Q64" s="19">
        <f t="shared" si="3"/>
        <v>1</v>
      </c>
      <c r="R64" s="19">
        <f t="shared" si="3"/>
        <v>1</v>
      </c>
      <c r="S64" s="19">
        <f t="shared" si="3"/>
        <v>1</v>
      </c>
      <c r="T64" s="24">
        <f t="shared" si="3"/>
        <v>2</v>
      </c>
    </row>
    <row r="65" spans="1:20" ht="15.75" customHeight="1" x14ac:dyDescent="0.3">
      <c r="A65" s="17"/>
      <c r="I65" s="33" t="s">
        <v>136</v>
      </c>
      <c r="J65" s="30">
        <f>MAX(J2:J59)</f>
        <v>5</v>
      </c>
      <c r="K65" s="25">
        <f t="shared" ref="K65:T65" si="4">MAX(K2:K59)</f>
        <v>5</v>
      </c>
      <c r="L65" s="25">
        <f t="shared" si="4"/>
        <v>5</v>
      </c>
      <c r="M65" s="25">
        <f t="shared" si="4"/>
        <v>5</v>
      </c>
      <c r="N65" s="25">
        <f t="shared" si="4"/>
        <v>5</v>
      </c>
      <c r="O65" s="25">
        <f t="shared" si="4"/>
        <v>5</v>
      </c>
      <c r="P65" s="25">
        <f t="shared" si="4"/>
        <v>5</v>
      </c>
      <c r="Q65" s="25">
        <f t="shared" si="4"/>
        <v>5</v>
      </c>
      <c r="R65" s="25">
        <f t="shared" si="4"/>
        <v>5</v>
      </c>
      <c r="S65" s="25">
        <f t="shared" si="4"/>
        <v>5</v>
      </c>
      <c r="T65" s="26">
        <f t="shared" si="4"/>
        <v>5</v>
      </c>
    </row>
    <row r="66" spans="1:20" ht="15.75" customHeight="1" x14ac:dyDescent="0.25"/>
    <row r="67" spans="1:20" ht="15.75" customHeight="1" x14ac:dyDescent="0.25"/>
    <row r="68" spans="1:20" ht="15.75" customHeight="1" x14ac:dyDescent="0.25">
      <c r="I68" s="19" t="s">
        <v>137</v>
      </c>
      <c r="J68" s="20">
        <f>COUNTIF(J$2:J$59,1)/COUNT(J$2:J$59)</f>
        <v>0</v>
      </c>
      <c r="K68" s="20">
        <f t="shared" ref="K68:T68" si="5">COUNTIF(K$2:K$59,1)/COUNT(K$2:K$59)</f>
        <v>0</v>
      </c>
      <c r="L68" s="20">
        <f t="shared" si="5"/>
        <v>0</v>
      </c>
      <c r="M68" s="20">
        <f t="shared" si="5"/>
        <v>3.4482758620689655E-2</v>
      </c>
      <c r="N68" s="20">
        <f t="shared" si="5"/>
        <v>0</v>
      </c>
      <c r="O68" s="20">
        <f t="shared" si="5"/>
        <v>0</v>
      </c>
      <c r="P68" s="20">
        <f t="shared" si="5"/>
        <v>0</v>
      </c>
      <c r="Q68" s="20">
        <f t="shared" si="5"/>
        <v>1.7241379310344827E-2</v>
      </c>
      <c r="R68" s="20">
        <f t="shared" si="5"/>
        <v>1.7241379310344827E-2</v>
      </c>
      <c r="S68" s="20">
        <f t="shared" si="5"/>
        <v>1.7543859649122806E-2</v>
      </c>
      <c r="T68" s="20">
        <f t="shared" si="5"/>
        <v>0</v>
      </c>
    </row>
    <row r="69" spans="1:20" ht="15.75" customHeight="1" x14ac:dyDescent="0.25">
      <c r="I69" s="19" t="s">
        <v>138</v>
      </c>
      <c r="J69" s="20">
        <f>COUNTIF(J$2:J$59,2)/COUNT(J$2:J$59)</f>
        <v>3.5087719298245612E-2</v>
      </c>
      <c r="K69" s="20">
        <f t="shared" ref="K69:T69" si="6">COUNTIF(K$2:K$59,2)/COUNT(K$2:K$59)</f>
        <v>0</v>
      </c>
      <c r="L69" s="20">
        <f t="shared" si="6"/>
        <v>5.1724137931034482E-2</v>
      </c>
      <c r="M69" s="20">
        <f t="shared" si="6"/>
        <v>0.10344827586206896</v>
      </c>
      <c r="N69" s="20">
        <f t="shared" si="6"/>
        <v>1.7543859649122806E-2</v>
      </c>
      <c r="O69" s="20">
        <f t="shared" si="6"/>
        <v>5.1724137931034482E-2</v>
      </c>
      <c r="P69" s="20">
        <f t="shared" si="6"/>
        <v>5.1724137931034482E-2</v>
      </c>
      <c r="Q69" s="20">
        <f t="shared" si="6"/>
        <v>0.13793103448275862</v>
      </c>
      <c r="R69" s="20">
        <f t="shared" si="6"/>
        <v>3.4482758620689655E-2</v>
      </c>
      <c r="S69" s="20">
        <f t="shared" si="6"/>
        <v>0.21052631578947367</v>
      </c>
      <c r="T69" s="20">
        <f t="shared" si="6"/>
        <v>6.8965517241379309E-2</v>
      </c>
    </row>
    <row r="70" spans="1:20" ht="15.75" customHeight="1" x14ac:dyDescent="0.25">
      <c r="I70" s="19" t="s">
        <v>139</v>
      </c>
      <c r="J70" s="20">
        <f>COUNTIF(J$2:J$59,3)/COUNT(J$2:J$59)</f>
        <v>0.15789473684210525</v>
      </c>
      <c r="K70" s="20">
        <f t="shared" ref="K70:T70" si="7">COUNTIF(K$2:K$59,3)/COUNT(K$2:K$59)</f>
        <v>8.6206896551724144E-2</v>
      </c>
      <c r="L70" s="20">
        <f t="shared" si="7"/>
        <v>6.8965517241379309E-2</v>
      </c>
      <c r="M70" s="20">
        <f t="shared" si="7"/>
        <v>0.39655172413793105</v>
      </c>
      <c r="N70" s="20">
        <f t="shared" si="7"/>
        <v>3.5087719298245612E-2</v>
      </c>
      <c r="O70" s="20">
        <f t="shared" si="7"/>
        <v>0.25862068965517243</v>
      </c>
      <c r="P70" s="20">
        <f t="shared" si="7"/>
        <v>3.4482758620689655E-2</v>
      </c>
      <c r="Q70" s="20">
        <f t="shared" si="7"/>
        <v>0.2413793103448276</v>
      </c>
      <c r="R70" s="20">
        <f t="shared" si="7"/>
        <v>0.1206896551724138</v>
      </c>
      <c r="S70" s="20">
        <f t="shared" si="7"/>
        <v>0.17543859649122806</v>
      </c>
      <c r="T70" s="20">
        <f t="shared" si="7"/>
        <v>0.15517241379310345</v>
      </c>
    </row>
    <row r="71" spans="1:20" x14ac:dyDescent="0.25">
      <c r="I71" s="19" t="s">
        <v>140</v>
      </c>
      <c r="J71" s="20">
        <f>COUNTIF(J$2:J$59,4)/COUNT(J$2:J$59)</f>
        <v>0.43859649122807015</v>
      </c>
      <c r="K71" s="20">
        <f t="shared" ref="K71:T71" si="8">COUNTIF(K$2:K$59,4)/COUNT(K$2:K$59)</f>
        <v>0.27586206896551724</v>
      </c>
      <c r="L71" s="20">
        <f t="shared" si="8"/>
        <v>0.37931034482758619</v>
      </c>
      <c r="M71" s="20">
        <f t="shared" si="8"/>
        <v>0.36206896551724138</v>
      </c>
      <c r="N71" s="20">
        <f t="shared" si="8"/>
        <v>0.2982456140350877</v>
      </c>
      <c r="O71" s="20">
        <f t="shared" si="8"/>
        <v>0.34482758620689657</v>
      </c>
      <c r="P71" s="20">
        <f t="shared" si="8"/>
        <v>0.27586206896551724</v>
      </c>
      <c r="Q71" s="20">
        <f t="shared" si="8"/>
        <v>0.39655172413793105</v>
      </c>
      <c r="R71" s="20">
        <f t="shared" si="8"/>
        <v>0.27586206896551724</v>
      </c>
      <c r="S71" s="20">
        <f t="shared" si="8"/>
        <v>0.49122807017543857</v>
      </c>
      <c r="T71" s="20">
        <f t="shared" si="8"/>
        <v>0.63793103448275867</v>
      </c>
    </row>
    <row r="72" spans="1:20" x14ac:dyDescent="0.25">
      <c r="I72" s="19" t="s">
        <v>141</v>
      </c>
      <c r="J72" s="20">
        <f>COUNTIF(J$2:J$59,5)/COUNT(J$2:J$59)</f>
        <v>0.36842105263157893</v>
      </c>
      <c r="K72" s="20">
        <f t="shared" ref="K72:T72" si="9">COUNTIF(K$2:K$59,5)/COUNT(K$2:K$59)</f>
        <v>0.63793103448275867</v>
      </c>
      <c r="L72" s="20">
        <f t="shared" si="9"/>
        <v>0.5</v>
      </c>
      <c r="M72" s="20">
        <f t="shared" si="9"/>
        <v>0.10344827586206896</v>
      </c>
      <c r="N72" s="20">
        <f t="shared" si="9"/>
        <v>0.64912280701754388</v>
      </c>
      <c r="O72" s="20">
        <f t="shared" si="9"/>
        <v>0.34482758620689657</v>
      </c>
      <c r="P72" s="20">
        <f t="shared" si="9"/>
        <v>0.63793103448275867</v>
      </c>
      <c r="Q72" s="20">
        <f t="shared" si="9"/>
        <v>0.20689655172413793</v>
      </c>
      <c r="R72" s="20">
        <f t="shared" si="9"/>
        <v>0.55172413793103448</v>
      </c>
      <c r="S72" s="20">
        <f t="shared" si="9"/>
        <v>0.10526315789473684</v>
      </c>
      <c r="T72" s="20">
        <f t="shared" si="9"/>
        <v>0.13793103448275862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3"/>
  <sheetViews>
    <sheetView topLeftCell="A46" workbookViewId="0">
      <selection activeCell="J75" sqref="J75"/>
    </sheetView>
  </sheetViews>
  <sheetFormatPr defaultRowHeight="12.5" x14ac:dyDescent="0.25"/>
  <cols>
    <col min="1" max="1" width="27" customWidth="1"/>
    <col min="2" max="12" width="12" customWidth="1"/>
    <col min="14" max="14" width="10.54296875" customWidth="1"/>
  </cols>
  <sheetData>
    <row r="1" spans="1:15" x14ac:dyDescent="0.25">
      <c r="A1" s="34" t="s">
        <v>14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</row>
    <row r="2" spans="1:15" x14ac:dyDescent="0.25">
      <c r="A2" s="35" t="s">
        <v>32</v>
      </c>
      <c r="B2" s="35">
        <v>3</v>
      </c>
      <c r="C2" s="35">
        <v>4</v>
      </c>
      <c r="D2" s="35">
        <v>4</v>
      </c>
      <c r="E2" s="35">
        <v>3</v>
      </c>
      <c r="F2" s="35">
        <v>5</v>
      </c>
      <c r="G2" s="35">
        <v>5</v>
      </c>
      <c r="H2" s="35">
        <v>5</v>
      </c>
      <c r="I2" s="35">
        <v>4</v>
      </c>
      <c r="J2" s="35">
        <v>5</v>
      </c>
      <c r="K2" s="35">
        <v>4</v>
      </c>
      <c r="L2" s="40">
        <v>3</v>
      </c>
    </row>
    <row r="3" spans="1:15" x14ac:dyDescent="0.25">
      <c r="A3" s="36" t="s">
        <v>32</v>
      </c>
      <c r="B3" s="36">
        <v>5</v>
      </c>
      <c r="C3" s="36">
        <v>5</v>
      </c>
      <c r="D3" s="36">
        <v>4</v>
      </c>
      <c r="E3" s="36">
        <v>3</v>
      </c>
      <c r="F3" s="36">
        <v>5</v>
      </c>
      <c r="G3" s="36">
        <v>3</v>
      </c>
      <c r="H3" s="36">
        <v>4</v>
      </c>
      <c r="I3" s="36">
        <v>4</v>
      </c>
      <c r="J3" s="36">
        <v>3</v>
      </c>
      <c r="K3" s="36">
        <v>4</v>
      </c>
      <c r="L3" s="41">
        <v>4</v>
      </c>
    </row>
    <row r="4" spans="1:15" x14ac:dyDescent="0.25">
      <c r="A4" s="35" t="s">
        <v>42</v>
      </c>
      <c r="B4" s="35">
        <v>5</v>
      </c>
      <c r="C4" s="35">
        <v>3</v>
      </c>
      <c r="D4" s="35">
        <v>2</v>
      </c>
      <c r="E4" s="35">
        <v>3</v>
      </c>
      <c r="F4" s="35">
        <v>5</v>
      </c>
      <c r="G4" s="35">
        <v>5</v>
      </c>
      <c r="H4" s="35">
        <v>5</v>
      </c>
      <c r="I4" s="35">
        <v>4</v>
      </c>
      <c r="J4" s="35">
        <v>4</v>
      </c>
      <c r="K4" s="35">
        <v>4</v>
      </c>
      <c r="L4" s="40">
        <v>4</v>
      </c>
      <c r="N4" s="47" t="s">
        <v>142</v>
      </c>
      <c r="O4" s="47" t="s">
        <v>143</v>
      </c>
    </row>
    <row r="5" spans="1:15" x14ac:dyDescent="0.25">
      <c r="A5" s="36" t="s">
        <v>46</v>
      </c>
      <c r="B5" s="36">
        <v>4</v>
      </c>
      <c r="C5" s="36">
        <v>3</v>
      </c>
      <c r="D5" s="36">
        <v>4</v>
      </c>
      <c r="E5" s="36">
        <v>4</v>
      </c>
      <c r="F5" s="36">
        <v>5</v>
      </c>
      <c r="G5" s="36">
        <v>4</v>
      </c>
      <c r="H5" s="36">
        <v>4</v>
      </c>
      <c r="I5" s="36">
        <v>4</v>
      </c>
      <c r="J5" s="36">
        <v>4</v>
      </c>
      <c r="K5" s="36">
        <v>2</v>
      </c>
      <c r="L5" s="41">
        <v>5</v>
      </c>
      <c r="N5" s="47" t="s">
        <v>144</v>
      </c>
      <c r="O5" s="49">
        <v>12</v>
      </c>
    </row>
    <row r="6" spans="1:15" x14ac:dyDescent="0.25">
      <c r="A6" s="35" t="s">
        <v>46</v>
      </c>
      <c r="B6" s="35">
        <v>5</v>
      </c>
      <c r="C6" s="35">
        <v>5</v>
      </c>
      <c r="D6" s="35">
        <v>5</v>
      </c>
      <c r="E6" s="35">
        <v>3</v>
      </c>
      <c r="F6" s="35">
        <v>4</v>
      </c>
      <c r="G6" s="35">
        <v>5</v>
      </c>
      <c r="H6" s="35">
        <v>5</v>
      </c>
      <c r="I6" s="35">
        <v>4</v>
      </c>
      <c r="J6" s="35">
        <v>5</v>
      </c>
      <c r="K6" s="35">
        <v>1</v>
      </c>
      <c r="L6" s="40">
        <v>3</v>
      </c>
      <c r="N6" s="47" t="s">
        <v>145</v>
      </c>
      <c r="O6" s="48">
        <v>20</v>
      </c>
    </row>
    <row r="7" spans="1:15" x14ac:dyDescent="0.25">
      <c r="A7" s="36" t="s">
        <v>46</v>
      </c>
      <c r="B7" s="36">
        <v>4</v>
      </c>
      <c r="C7" s="36">
        <v>5</v>
      </c>
      <c r="D7" s="36">
        <v>5</v>
      </c>
      <c r="E7" s="36">
        <v>3</v>
      </c>
      <c r="F7" s="36">
        <v>5</v>
      </c>
      <c r="G7" s="36">
        <v>5</v>
      </c>
      <c r="H7" s="36">
        <v>5</v>
      </c>
      <c r="I7" s="36">
        <v>5</v>
      </c>
      <c r="J7" s="36">
        <v>5</v>
      </c>
      <c r="K7" s="36">
        <v>2</v>
      </c>
      <c r="L7" s="41">
        <v>4</v>
      </c>
      <c r="N7" s="47" t="s">
        <v>146</v>
      </c>
      <c r="O7" s="49">
        <v>26</v>
      </c>
    </row>
    <row r="8" spans="1:15" x14ac:dyDescent="0.25">
      <c r="A8" s="35" t="s">
        <v>32</v>
      </c>
      <c r="B8" s="35">
        <v>4</v>
      </c>
      <c r="C8" s="35">
        <v>4</v>
      </c>
      <c r="D8" s="35">
        <v>5</v>
      </c>
      <c r="E8" s="35">
        <v>4</v>
      </c>
      <c r="F8" s="35">
        <v>4</v>
      </c>
      <c r="G8" s="35">
        <v>3</v>
      </c>
      <c r="H8" s="35">
        <v>5</v>
      </c>
      <c r="I8" s="35">
        <v>3</v>
      </c>
      <c r="J8" s="35">
        <v>4</v>
      </c>
      <c r="K8" s="35">
        <v>4</v>
      </c>
      <c r="L8" s="40">
        <v>4</v>
      </c>
    </row>
    <row r="9" spans="1:15" x14ac:dyDescent="0.25">
      <c r="A9" s="37" t="s">
        <v>32</v>
      </c>
      <c r="B9" s="37">
        <v>5</v>
      </c>
      <c r="C9" s="37">
        <v>4</v>
      </c>
      <c r="D9" s="37">
        <v>2</v>
      </c>
      <c r="E9" s="37">
        <v>3</v>
      </c>
      <c r="F9" s="37">
        <v>5</v>
      </c>
      <c r="G9" s="37">
        <v>2</v>
      </c>
      <c r="H9" s="37">
        <v>2</v>
      </c>
      <c r="I9" s="37">
        <v>1</v>
      </c>
      <c r="J9" s="37">
        <v>5</v>
      </c>
      <c r="K9" s="37">
        <v>4</v>
      </c>
      <c r="L9" s="42">
        <v>5</v>
      </c>
    </row>
    <row r="10" spans="1:15" x14ac:dyDescent="0.25">
      <c r="A10" s="38" t="s">
        <v>46</v>
      </c>
      <c r="B10" s="38">
        <v>4</v>
      </c>
      <c r="C10" s="38">
        <v>5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2</v>
      </c>
      <c r="J10" s="38">
        <v>2</v>
      </c>
      <c r="K10" s="38">
        <v>2</v>
      </c>
      <c r="L10" s="43">
        <v>4</v>
      </c>
    </row>
    <row r="11" spans="1:15" x14ac:dyDescent="0.25">
      <c r="A11" s="37" t="s">
        <v>46</v>
      </c>
      <c r="B11" s="37">
        <v>5</v>
      </c>
      <c r="C11" s="37">
        <v>4</v>
      </c>
      <c r="D11" s="37">
        <v>3</v>
      </c>
      <c r="E11" s="37">
        <v>4</v>
      </c>
      <c r="F11" s="37">
        <v>5</v>
      </c>
      <c r="G11" s="37">
        <v>4</v>
      </c>
      <c r="H11" s="37">
        <v>4</v>
      </c>
      <c r="I11" s="37">
        <v>5</v>
      </c>
      <c r="J11" s="37">
        <v>5</v>
      </c>
      <c r="K11" s="37"/>
      <c r="L11" s="42">
        <v>4</v>
      </c>
    </row>
    <row r="12" spans="1:15" x14ac:dyDescent="0.25">
      <c r="A12" s="38" t="s">
        <v>42</v>
      </c>
      <c r="B12" s="38">
        <v>4</v>
      </c>
      <c r="C12" s="38">
        <v>4</v>
      </c>
      <c r="D12" s="38">
        <v>5</v>
      </c>
      <c r="E12" s="38">
        <v>3</v>
      </c>
      <c r="F12" s="38">
        <v>5</v>
      </c>
      <c r="G12" s="38">
        <v>4</v>
      </c>
      <c r="H12" s="38">
        <v>4</v>
      </c>
      <c r="I12" s="38">
        <v>3</v>
      </c>
      <c r="J12" s="38">
        <v>4</v>
      </c>
      <c r="K12" s="38">
        <v>4</v>
      </c>
      <c r="L12" s="43">
        <v>4</v>
      </c>
    </row>
    <row r="13" spans="1:15" x14ac:dyDescent="0.25">
      <c r="A13" s="37" t="s">
        <v>32</v>
      </c>
      <c r="B13" s="37">
        <v>4</v>
      </c>
      <c r="C13" s="37">
        <v>5</v>
      </c>
      <c r="D13" s="37">
        <v>4</v>
      </c>
      <c r="E13" s="37">
        <v>3</v>
      </c>
      <c r="F13" s="37">
        <v>4</v>
      </c>
      <c r="G13" s="37">
        <v>4</v>
      </c>
      <c r="H13" s="37">
        <v>4</v>
      </c>
      <c r="I13" s="37">
        <v>4</v>
      </c>
      <c r="J13" s="37">
        <v>5</v>
      </c>
      <c r="K13" s="37">
        <v>4</v>
      </c>
      <c r="L13" s="42">
        <v>4</v>
      </c>
    </row>
    <row r="14" spans="1:15" x14ac:dyDescent="0.25">
      <c r="A14" s="38" t="s">
        <v>46</v>
      </c>
      <c r="B14" s="38">
        <v>4</v>
      </c>
      <c r="C14" s="38">
        <v>5</v>
      </c>
      <c r="D14" s="38">
        <v>4</v>
      </c>
      <c r="E14" s="38">
        <v>5</v>
      </c>
      <c r="F14" s="38">
        <v>4</v>
      </c>
      <c r="G14" s="38">
        <v>2</v>
      </c>
      <c r="H14" s="38">
        <v>4</v>
      </c>
      <c r="I14" s="38">
        <v>5</v>
      </c>
      <c r="J14" s="38">
        <v>4</v>
      </c>
      <c r="K14" s="38">
        <v>3</v>
      </c>
      <c r="L14" s="43">
        <v>4</v>
      </c>
    </row>
    <row r="15" spans="1:15" x14ac:dyDescent="0.25">
      <c r="A15" s="37" t="s">
        <v>42</v>
      </c>
      <c r="B15" s="37">
        <v>5</v>
      </c>
      <c r="C15" s="37">
        <v>4</v>
      </c>
      <c r="D15" s="37">
        <v>5</v>
      </c>
      <c r="E15" s="37">
        <v>4</v>
      </c>
      <c r="F15" s="37">
        <v>4</v>
      </c>
      <c r="G15" s="37">
        <v>5</v>
      </c>
      <c r="H15" s="37">
        <v>5</v>
      </c>
      <c r="I15" s="37">
        <v>3</v>
      </c>
      <c r="J15" s="37">
        <v>3</v>
      </c>
      <c r="K15" s="37">
        <v>4</v>
      </c>
      <c r="L15" s="42">
        <v>4</v>
      </c>
    </row>
    <row r="16" spans="1:15" x14ac:dyDescent="0.25">
      <c r="A16" s="38" t="s">
        <v>42</v>
      </c>
      <c r="B16" s="38">
        <v>4</v>
      </c>
      <c r="C16" s="38">
        <v>5</v>
      </c>
      <c r="D16" s="38">
        <v>4</v>
      </c>
      <c r="E16" s="38">
        <v>3</v>
      </c>
      <c r="F16" s="38">
        <v>4</v>
      </c>
      <c r="G16" s="38">
        <v>4</v>
      </c>
      <c r="H16" s="38">
        <v>5</v>
      </c>
      <c r="I16" s="38">
        <v>4</v>
      </c>
      <c r="J16" s="38">
        <v>5</v>
      </c>
      <c r="K16" s="38">
        <v>4</v>
      </c>
      <c r="L16" s="43">
        <v>4</v>
      </c>
    </row>
    <row r="17" spans="1:12" x14ac:dyDescent="0.25">
      <c r="A17" s="37" t="s">
        <v>46</v>
      </c>
      <c r="B17" s="37">
        <v>3</v>
      </c>
      <c r="C17" s="37">
        <v>4</v>
      </c>
      <c r="D17" s="37">
        <v>5</v>
      </c>
      <c r="E17" s="37">
        <v>1</v>
      </c>
      <c r="F17" s="37">
        <v>2</v>
      </c>
      <c r="G17" s="37">
        <v>5</v>
      </c>
      <c r="H17" s="37">
        <v>5</v>
      </c>
      <c r="I17" s="37">
        <v>5</v>
      </c>
      <c r="J17" s="37">
        <v>4</v>
      </c>
      <c r="K17" s="37">
        <v>2</v>
      </c>
      <c r="L17" s="42">
        <v>2</v>
      </c>
    </row>
    <row r="18" spans="1:12" x14ac:dyDescent="0.25">
      <c r="A18" s="38" t="s">
        <v>32</v>
      </c>
      <c r="B18" s="38">
        <v>5</v>
      </c>
      <c r="C18" s="38">
        <v>4</v>
      </c>
      <c r="D18" s="38">
        <v>5</v>
      </c>
      <c r="E18" s="38">
        <v>4</v>
      </c>
      <c r="F18" s="38">
        <v>5</v>
      </c>
      <c r="G18" s="38">
        <v>4</v>
      </c>
      <c r="H18" s="38">
        <v>5</v>
      </c>
      <c r="I18" s="38">
        <v>3</v>
      </c>
      <c r="J18" s="38">
        <v>5</v>
      </c>
      <c r="K18" s="38">
        <v>3</v>
      </c>
      <c r="L18" s="43">
        <v>4</v>
      </c>
    </row>
    <row r="19" spans="1:12" x14ac:dyDescent="0.25">
      <c r="A19" s="37" t="s">
        <v>42</v>
      </c>
      <c r="B19" s="37">
        <v>4</v>
      </c>
      <c r="C19" s="37">
        <v>5</v>
      </c>
      <c r="D19" s="37">
        <v>4</v>
      </c>
      <c r="E19" s="37">
        <v>4</v>
      </c>
      <c r="F19" s="37">
        <v>4</v>
      </c>
      <c r="G19" s="37">
        <v>3</v>
      </c>
      <c r="H19" s="37">
        <v>4</v>
      </c>
      <c r="I19" s="37">
        <v>4</v>
      </c>
      <c r="J19" s="37">
        <v>4</v>
      </c>
      <c r="K19" s="37">
        <v>4</v>
      </c>
      <c r="L19" s="42">
        <v>4</v>
      </c>
    </row>
    <row r="20" spans="1:12" x14ac:dyDescent="0.25">
      <c r="A20" s="35" t="s">
        <v>46</v>
      </c>
      <c r="B20" s="35">
        <v>4</v>
      </c>
      <c r="C20" s="35">
        <v>5</v>
      </c>
      <c r="D20" s="35">
        <v>4</v>
      </c>
      <c r="E20" s="35">
        <v>2</v>
      </c>
      <c r="F20" s="35">
        <v>5</v>
      </c>
      <c r="G20" s="35">
        <v>3</v>
      </c>
      <c r="H20" s="35">
        <v>5</v>
      </c>
      <c r="I20" s="35">
        <v>4</v>
      </c>
      <c r="J20" s="35">
        <v>5</v>
      </c>
      <c r="K20" s="35">
        <v>2</v>
      </c>
      <c r="L20" s="40">
        <v>2</v>
      </c>
    </row>
    <row r="21" spans="1:12" x14ac:dyDescent="0.25">
      <c r="A21" s="36" t="s">
        <v>46</v>
      </c>
      <c r="B21" s="36">
        <v>5</v>
      </c>
      <c r="C21" s="36">
        <v>5</v>
      </c>
      <c r="D21" s="36">
        <v>5</v>
      </c>
      <c r="E21" s="36">
        <v>4</v>
      </c>
      <c r="F21" s="36">
        <v>5</v>
      </c>
      <c r="G21" s="36">
        <v>5</v>
      </c>
      <c r="H21" s="36">
        <v>5</v>
      </c>
      <c r="I21" s="36">
        <v>4</v>
      </c>
      <c r="J21" s="36">
        <v>5</v>
      </c>
      <c r="K21" s="36">
        <v>4</v>
      </c>
      <c r="L21" s="41">
        <v>4</v>
      </c>
    </row>
    <row r="22" spans="1:12" x14ac:dyDescent="0.25">
      <c r="A22" s="35" t="s">
        <v>46</v>
      </c>
      <c r="B22" s="35">
        <v>4</v>
      </c>
      <c r="C22" s="35">
        <v>5</v>
      </c>
      <c r="D22" s="35">
        <v>5</v>
      </c>
      <c r="E22" s="35">
        <v>3</v>
      </c>
      <c r="F22" s="35">
        <v>5</v>
      </c>
      <c r="G22" s="35">
        <v>5</v>
      </c>
      <c r="H22" s="35">
        <v>5</v>
      </c>
      <c r="I22" s="35">
        <v>4</v>
      </c>
      <c r="J22" s="35">
        <v>5</v>
      </c>
      <c r="K22" s="35">
        <v>3</v>
      </c>
      <c r="L22" s="40">
        <v>4</v>
      </c>
    </row>
    <row r="23" spans="1:12" x14ac:dyDescent="0.25">
      <c r="A23" s="36" t="s">
        <v>46</v>
      </c>
      <c r="B23" s="36">
        <v>5</v>
      </c>
      <c r="C23" s="36">
        <v>5</v>
      </c>
      <c r="D23" s="36">
        <v>5</v>
      </c>
      <c r="E23" s="36">
        <v>3</v>
      </c>
      <c r="F23" s="36">
        <v>5</v>
      </c>
      <c r="G23" s="36">
        <v>4</v>
      </c>
      <c r="H23" s="36">
        <v>5</v>
      </c>
      <c r="I23" s="36">
        <v>4</v>
      </c>
      <c r="J23" s="36">
        <v>5</v>
      </c>
      <c r="K23" s="36">
        <v>2</v>
      </c>
      <c r="L23" s="41">
        <v>3</v>
      </c>
    </row>
    <row r="24" spans="1:12" x14ac:dyDescent="0.25">
      <c r="A24" s="35" t="s">
        <v>42</v>
      </c>
      <c r="B24" s="35">
        <v>4</v>
      </c>
      <c r="C24" s="35">
        <v>5</v>
      </c>
      <c r="D24" s="35">
        <v>5</v>
      </c>
      <c r="E24" s="35">
        <v>3</v>
      </c>
      <c r="F24" s="35">
        <v>4</v>
      </c>
      <c r="G24" s="35">
        <v>3</v>
      </c>
      <c r="H24" s="35">
        <v>5</v>
      </c>
      <c r="I24" s="35">
        <v>2</v>
      </c>
      <c r="J24" s="35">
        <v>4</v>
      </c>
      <c r="K24" s="35">
        <v>4</v>
      </c>
      <c r="L24" s="40">
        <v>3</v>
      </c>
    </row>
    <row r="25" spans="1:12" x14ac:dyDescent="0.25">
      <c r="A25" s="36" t="s">
        <v>46</v>
      </c>
      <c r="B25" s="36">
        <v>5</v>
      </c>
      <c r="C25" s="36">
        <v>5</v>
      </c>
      <c r="D25" s="36">
        <v>5</v>
      </c>
      <c r="E25" s="36">
        <v>3</v>
      </c>
      <c r="F25" s="36">
        <v>5</v>
      </c>
      <c r="G25" s="36">
        <v>4</v>
      </c>
      <c r="H25" s="36">
        <v>5</v>
      </c>
      <c r="I25" s="36">
        <v>3</v>
      </c>
      <c r="J25" s="36">
        <v>5</v>
      </c>
      <c r="K25" s="36">
        <v>3</v>
      </c>
      <c r="L25" s="41">
        <v>4</v>
      </c>
    </row>
    <row r="26" spans="1:12" x14ac:dyDescent="0.25">
      <c r="A26" s="35" t="s">
        <v>46</v>
      </c>
      <c r="B26" s="35">
        <v>4</v>
      </c>
      <c r="C26" s="35">
        <v>5</v>
      </c>
      <c r="D26" s="35">
        <v>5</v>
      </c>
      <c r="E26" s="35">
        <v>3</v>
      </c>
      <c r="F26" s="35">
        <v>5</v>
      </c>
      <c r="G26" s="35">
        <v>5</v>
      </c>
      <c r="H26" s="35">
        <v>5</v>
      </c>
      <c r="I26" s="35">
        <v>3</v>
      </c>
      <c r="J26" s="35">
        <v>5</v>
      </c>
      <c r="K26" s="35">
        <v>4</v>
      </c>
      <c r="L26" s="40">
        <v>4</v>
      </c>
    </row>
    <row r="27" spans="1:12" x14ac:dyDescent="0.25">
      <c r="A27" s="36" t="s">
        <v>46</v>
      </c>
      <c r="B27" s="36">
        <v>5</v>
      </c>
      <c r="C27" s="36">
        <v>5</v>
      </c>
      <c r="D27" s="36">
        <v>5</v>
      </c>
      <c r="E27" s="36">
        <v>4</v>
      </c>
      <c r="F27" s="36">
        <v>5</v>
      </c>
      <c r="G27" s="36">
        <v>5</v>
      </c>
      <c r="H27" s="36">
        <v>5</v>
      </c>
      <c r="I27" s="36">
        <v>4</v>
      </c>
      <c r="J27" s="36">
        <v>5</v>
      </c>
      <c r="K27" s="36">
        <v>3</v>
      </c>
      <c r="L27" s="41">
        <v>4</v>
      </c>
    </row>
    <row r="28" spans="1:12" x14ac:dyDescent="0.25">
      <c r="A28" s="35" t="s">
        <v>42</v>
      </c>
      <c r="B28" s="35">
        <v>4</v>
      </c>
      <c r="C28" s="35">
        <v>4</v>
      </c>
      <c r="D28" s="35">
        <v>4</v>
      </c>
      <c r="E28" s="35">
        <v>2</v>
      </c>
      <c r="F28" s="35">
        <v>4</v>
      </c>
      <c r="G28" s="35">
        <v>3</v>
      </c>
      <c r="H28" s="35">
        <v>5</v>
      </c>
      <c r="I28" s="35">
        <v>2</v>
      </c>
      <c r="J28" s="35">
        <v>3</v>
      </c>
      <c r="K28" s="35">
        <v>4</v>
      </c>
      <c r="L28" s="40">
        <v>4</v>
      </c>
    </row>
    <row r="29" spans="1:12" x14ac:dyDescent="0.25">
      <c r="A29" s="36" t="s">
        <v>32</v>
      </c>
      <c r="B29" s="36">
        <v>3</v>
      </c>
      <c r="C29" s="36">
        <v>3</v>
      </c>
      <c r="D29" s="36">
        <v>4</v>
      </c>
      <c r="E29" s="36">
        <v>4</v>
      </c>
      <c r="F29" s="36">
        <v>5</v>
      </c>
      <c r="G29" s="36">
        <v>5</v>
      </c>
      <c r="H29" s="36">
        <v>5</v>
      </c>
      <c r="I29" s="36">
        <v>2</v>
      </c>
      <c r="J29" s="36">
        <v>5</v>
      </c>
      <c r="K29" s="36">
        <v>4</v>
      </c>
      <c r="L29" s="41">
        <v>4</v>
      </c>
    </row>
    <row r="30" spans="1:12" x14ac:dyDescent="0.25">
      <c r="A30" s="35" t="s">
        <v>32</v>
      </c>
      <c r="B30" s="35">
        <v>5</v>
      </c>
      <c r="C30" s="35">
        <v>5</v>
      </c>
      <c r="D30" s="35">
        <v>5</v>
      </c>
      <c r="E30" s="35">
        <v>3</v>
      </c>
      <c r="F30" s="35">
        <v>5</v>
      </c>
      <c r="G30" s="35">
        <v>5</v>
      </c>
      <c r="H30" s="35">
        <v>5</v>
      </c>
      <c r="I30" s="35">
        <v>3</v>
      </c>
      <c r="J30" s="35">
        <v>4</v>
      </c>
      <c r="K30" s="35">
        <v>5</v>
      </c>
      <c r="L30" s="40">
        <v>5</v>
      </c>
    </row>
    <row r="31" spans="1:12" x14ac:dyDescent="0.25">
      <c r="A31" s="36" t="s">
        <v>46</v>
      </c>
      <c r="B31" s="36">
        <v>4</v>
      </c>
      <c r="C31" s="36">
        <v>4</v>
      </c>
      <c r="D31" s="36">
        <v>5</v>
      </c>
      <c r="E31" s="36">
        <v>5</v>
      </c>
      <c r="F31" s="36">
        <v>5</v>
      </c>
      <c r="G31" s="36">
        <v>3</v>
      </c>
      <c r="H31" s="36">
        <v>2</v>
      </c>
      <c r="I31" s="36">
        <v>4</v>
      </c>
      <c r="J31" s="36">
        <v>2</v>
      </c>
      <c r="K31" s="36">
        <v>4</v>
      </c>
      <c r="L31" s="41">
        <v>4</v>
      </c>
    </row>
    <row r="32" spans="1:12" x14ac:dyDescent="0.25">
      <c r="A32" s="35" t="s">
        <v>46</v>
      </c>
      <c r="B32" s="35">
        <v>5</v>
      </c>
      <c r="C32" s="35">
        <v>5</v>
      </c>
      <c r="D32" s="35">
        <v>5</v>
      </c>
      <c r="E32" s="35">
        <v>4</v>
      </c>
      <c r="F32" s="35">
        <v>5</v>
      </c>
      <c r="G32" s="35">
        <v>5</v>
      </c>
      <c r="H32" s="35">
        <v>5</v>
      </c>
      <c r="I32" s="35">
        <v>4</v>
      </c>
      <c r="J32" s="35">
        <v>5</v>
      </c>
      <c r="K32" s="35">
        <v>3</v>
      </c>
      <c r="L32" s="40">
        <v>3</v>
      </c>
    </row>
    <row r="33" spans="1:12" x14ac:dyDescent="0.25">
      <c r="A33" s="36" t="s">
        <v>46</v>
      </c>
      <c r="B33" s="36">
        <v>5</v>
      </c>
      <c r="C33" s="36">
        <v>5</v>
      </c>
      <c r="D33" s="36">
        <v>5</v>
      </c>
      <c r="E33" s="36">
        <v>4</v>
      </c>
      <c r="F33" s="44"/>
      <c r="G33" s="36">
        <v>5</v>
      </c>
      <c r="H33" s="36">
        <v>5</v>
      </c>
      <c r="I33" s="36">
        <v>4</v>
      </c>
      <c r="J33" s="36">
        <v>5</v>
      </c>
      <c r="K33" s="36">
        <v>2</v>
      </c>
      <c r="L33" s="41">
        <v>3</v>
      </c>
    </row>
    <row r="34" spans="1:12" x14ac:dyDescent="0.25">
      <c r="A34" s="35" t="s">
        <v>32</v>
      </c>
      <c r="B34" s="35">
        <v>4</v>
      </c>
      <c r="C34" s="35">
        <v>5</v>
      </c>
      <c r="D34" s="35">
        <v>5</v>
      </c>
      <c r="E34" s="35">
        <v>4</v>
      </c>
      <c r="F34" s="35">
        <v>4</v>
      </c>
      <c r="G34" s="35">
        <v>3</v>
      </c>
      <c r="H34" s="35">
        <v>4</v>
      </c>
      <c r="I34" s="35">
        <v>2</v>
      </c>
      <c r="J34" s="35">
        <v>5</v>
      </c>
      <c r="K34" s="35">
        <v>5</v>
      </c>
      <c r="L34" s="40">
        <v>4</v>
      </c>
    </row>
    <row r="35" spans="1:12" x14ac:dyDescent="0.25">
      <c r="A35" s="36" t="s">
        <v>46</v>
      </c>
      <c r="B35" s="36">
        <v>5</v>
      </c>
      <c r="C35" s="36">
        <v>5</v>
      </c>
      <c r="D35" s="36">
        <v>5</v>
      </c>
      <c r="E35" s="36">
        <v>4</v>
      </c>
      <c r="F35" s="36">
        <v>5</v>
      </c>
      <c r="G35" s="36">
        <v>5</v>
      </c>
      <c r="H35" s="36">
        <v>5</v>
      </c>
      <c r="I35" s="36">
        <v>3</v>
      </c>
      <c r="J35" s="36">
        <v>5</v>
      </c>
      <c r="K35" s="36">
        <v>3</v>
      </c>
      <c r="L35" s="41">
        <v>4</v>
      </c>
    </row>
    <row r="36" spans="1:12" x14ac:dyDescent="0.25">
      <c r="A36" s="35" t="s">
        <v>42</v>
      </c>
      <c r="B36" s="35">
        <v>4</v>
      </c>
      <c r="C36" s="35">
        <v>4</v>
      </c>
      <c r="D36" s="35">
        <v>4</v>
      </c>
      <c r="E36" s="35">
        <v>5</v>
      </c>
      <c r="F36" s="35">
        <v>5</v>
      </c>
      <c r="G36" s="35">
        <v>4</v>
      </c>
      <c r="H36" s="35">
        <v>4</v>
      </c>
      <c r="I36" s="35">
        <v>3</v>
      </c>
      <c r="J36" s="35">
        <v>5</v>
      </c>
      <c r="K36" s="35">
        <v>4</v>
      </c>
      <c r="L36" s="40">
        <v>4</v>
      </c>
    </row>
    <row r="37" spans="1:12" x14ac:dyDescent="0.25">
      <c r="A37" s="36" t="s">
        <v>42</v>
      </c>
      <c r="B37" s="36">
        <v>3</v>
      </c>
      <c r="C37" s="36">
        <v>4</v>
      </c>
      <c r="D37" s="36">
        <v>4</v>
      </c>
      <c r="E37" s="36">
        <v>2</v>
      </c>
      <c r="F37" s="36">
        <v>4</v>
      </c>
      <c r="G37" s="36">
        <v>4</v>
      </c>
      <c r="H37" s="36">
        <v>4</v>
      </c>
      <c r="I37" s="36">
        <v>2</v>
      </c>
      <c r="J37" s="36">
        <v>3</v>
      </c>
      <c r="K37" s="36">
        <v>4</v>
      </c>
      <c r="L37" s="41">
        <v>4</v>
      </c>
    </row>
    <row r="38" spans="1:12" x14ac:dyDescent="0.25">
      <c r="A38" s="35" t="s">
        <v>46</v>
      </c>
      <c r="B38" s="35">
        <v>3</v>
      </c>
      <c r="C38" s="35">
        <v>5</v>
      </c>
      <c r="D38" s="35">
        <v>4</v>
      </c>
      <c r="E38" s="35">
        <v>3</v>
      </c>
      <c r="F38" s="35">
        <v>5</v>
      </c>
      <c r="G38" s="35">
        <v>4</v>
      </c>
      <c r="H38" s="35">
        <v>4</v>
      </c>
      <c r="I38" s="35">
        <v>5</v>
      </c>
      <c r="J38" s="35">
        <v>5</v>
      </c>
      <c r="K38" s="35">
        <v>4</v>
      </c>
      <c r="L38" s="40">
        <v>4</v>
      </c>
    </row>
    <row r="39" spans="1:12" x14ac:dyDescent="0.25">
      <c r="A39" s="36" t="s">
        <v>32</v>
      </c>
      <c r="B39" s="36">
        <v>4</v>
      </c>
      <c r="C39" s="36">
        <v>3</v>
      </c>
      <c r="D39" s="36">
        <v>4</v>
      </c>
      <c r="E39" s="36">
        <v>4</v>
      </c>
      <c r="F39" s="36">
        <v>4</v>
      </c>
      <c r="G39" s="36">
        <v>3</v>
      </c>
      <c r="H39" s="36">
        <v>4</v>
      </c>
      <c r="I39" s="36">
        <v>4</v>
      </c>
      <c r="J39" s="36">
        <v>3</v>
      </c>
      <c r="K39" s="36">
        <v>4</v>
      </c>
      <c r="L39" s="41">
        <v>5</v>
      </c>
    </row>
    <row r="40" spans="1:12" x14ac:dyDescent="0.25">
      <c r="A40" s="35" t="s">
        <v>46</v>
      </c>
      <c r="B40" s="35">
        <v>4</v>
      </c>
      <c r="C40" s="35">
        <v>5</v>
      </c>
      <c r="D40" s="35">
        <v>4</v>
      </c>
      <c r="E40" s="35">
        <v>5</v>
      </c>
      <c r="F40" s="35">
        <v>5</v>
      </c>
      <c r="G40" s="35">
        <v>5</v>
      </c>
      <c r="H40" s="35">
        <v>5</v>
      </c>
      <c r="I40" s="35">
        <v>4</v>
      </c>
      <c r="J40" s="35">
        <v>5</v>
      </c>
      <c r="K40" s="35">
        <v>2</v>
      </c>
      <c r="L40" s="40">
        <v>5</v>
      </c>
    </row>
    <row r="41" spans="1:12" x14ac:dyDescent="0.25">
      <c r="A41" s="36" t="s">
        <v>46</v>
      </c>
      <c r="B41" s="36">
        <v>5</v>
      </c>
      <c r="C41" s="36">
        <v>5</v>
      </c>
      <c r="D41" s="36">
        <v>2</v>
      </c>
      <c r="E41" s="36">
        <v>4</v>
      </c>
      <c r="F41" s="36">
        <v>5</v>
      </c>
      <c r="G41" s="36">
        <v>5</v>
      </c>
      <c r="H41" s="36">
        <v>5</v>
      </c>
      <c r="I41" s="36">
        <v>3</v>
      </c>
      <c r="J41" s="36">
        <v>4</v>
      </c>
      <c r="K41" s="36">
        <v>2</v>
      </c>
      <c r="L41" s="41">
        <v>2</v>
      </c>
    </row>
    <row r="42" spans="1:12" x14ac:dyDescent="0.25">
      <c r="A42" s="35" t="s">
        <v>32</v>
      </c>
      <c r="B42" s="35">
        <v>4</v>
      </c>
      <c r="C42" s="35">
        <v>5</v>
      </c>
      <c r="D42" s="35">
        <v>3</v>
      </c>
      <c r="E42" s="35">
        <v>4</v>
      </c>
      <c r="F42" s="35">
        <v>3</v>
      </c>
      <c r="G42" s="35">
        <v>3</v>
      </c>
      <c r="H42" s="35">
        <v>5</v>
      </c>
      <c r="I42" s="35">
        <v>3</v>
      </c>
      <c r="J42" s="35">
        <v>4</v>
      </c>
      <c r="K42" s="35">
        <v>4</v>
      </c>
      <c r="L42" s="40">
        <v>4</v>
      </c>
    </row>
    <row r="43" spans="1:12" x14ac:dyDescent="0.25">
      <c r="A43" s="36" t="s">
        <v>32</v>
      </c>
      <c r="B43" s="36">
        <v>2</v>
      </c>
      <c r="C43" s="36">
        <v>4</v>
      </c>
      <c r="D43" s="36">
        <v>4</v>
      </c>
      <c r="E43" s="36">
        <v>4</v>
      </c>
      <c r="F43" s="36">
        <v>4</v>
      </c>
      <c r="G43" s="36">
        <v>3</v>
      </c>
      <c r="H43" s="36">
        <v>2</v>
      </c>
      <c r="I43" s="36">
        <v>2</v>
      </c>
      <c r="J43" s="36">
        <v>4</v>
      </c>
      <c r="K43" s="36">
        <v>4</v>
      </c>
      <c r="L43" s="41">
        <v>4</v>
      </c>
    </row>
    <row r="44" spans="1:12" x14ac:dyDescent="0.25">
      <c r="A44" s="35" t="s">
        <v>46</v>
      </c>
      <c r="B44" s="35">
        <v>4</v>
      </c>
      <c r="C44" s="35">
        <v>5</v>
      </c>
      <c r="D44" s="35">
        <v>4</v>
      </c>
      <c r="E44" s="35">
        <v>2</v>
      </c>
      <c r="F44" s="35">
        <v>5</v>
      </c>
      <c r="G44" s="35">
        <v>3</v>
      </c>
      <c r="H44" s="35">
        <v>5</v>
      </c>
      <c r="I44" s="35">
        <v>4</v>
      </c>
      <c r="J44" s="35">
        <v>5</v>
      </c>
      <c r="K44" s="35">
        <v>4</v>
      </c>
      <c r="L44" s="40">
        <v>5</v>
      </c>
    </row>
    <row r="45" spans="1:12" x14ac:dyDescent="0.25">
      <c r="A45" s="36" t="s">
        <v>46</v>
      </c>
      <c r="B45" s="36">
        <v>3</v>
      </c>
      <c r="C45" s="36">
        <v>3</v>
      </c>
      <c r="D45" s="36">
        <v>3</v>
      </c>
      <c r="E45" s="36">
        <v>3</v>
      </c>
      <c r="F45" s="36">
        <v>4</v>
      </c>
      <c r="G45" s="36">
        <v>4</v>
      </c>
      <c r="H45" s="36">
        <v>5</v>
      </c>
      <c r="I45" s="36">
        <v>5</v>
      </c>
      <c r="J45" s="36">
        <v>5</v>
      </c>
      <c r="K45" s="36">
        <v>5</v>
      </c>
      <c r="L45" s="41">
        <v>3</v>
      </c>
    </row>
    <row r="46" spans="1:12" x14ac:dyDescent="0.25">
      <c r="A46" s="35" t="s">
        <v>32</v>
      </c>
      <c r="B46" s="35">
        <v>5</v>
      </c>
      <c r="C46" s="35">
        <v>5</v>
      </c>
      <c r="D46" s="35">
        <v>5</v>
      </c>
      <c r="E46" s="35">
        <v>4</v>
      </c>
      <c r="F46" s="35">
        <v>5</v>
      </c>
      <c r="G46" s="35">
        <v>5</v>
      </c>
      <c r="H46" s="35">
        <v>5</v>
      </c>
      <c r="I46" s="35">
        <v>5</v>
      </c>
      <c r="J46" s="35">
        <v>5</v>
      </c>
      <c r="K46" s="35">
        <v>4</v>
      </c>
      <c r="L46" s="40">
        <v>4</v>
      </c>
    </row>
    <row r="47" spans="1:12" x14ac:dyDescent="0.25">
      <c r="A47" s="36" t="s">
        <v>46</v>
      </c>
      <c r="B47" s="36">
        <v>3</v>
      </c>
      <c r="C47" s="36">
        <v>5</v>
      </c>
      <c r="D47" s="36">
        <v>5</v>
      </c>
      <c r="E47" s="36">
        <v>4</v>
      </c>
      <c r="F47" s="36">
        <v>5</v>
      </c>
      <c r="G47" s="36">
        <v>4</v>
      </c>
      <c r="H47" s="36">
        <v>5</v>
      </c>
      <c r="I47" s="36">
        <v>3</v>
      </c>
      <c r="J47" s="36">
        <v>4</v>
      </c>
      <c r="K47" s="36">
        <v>2</v>
      </c>
      <c r="L47" s="41">
        <v>4</v>
      </c>
    </row>
    <row r="48" spans="1:12" x14ac:dyDescent="0.25">
      <c r="A48" s="35" t="s">
        <v>46</v>
      </c>
      <c r="B48" s="35">
        <v>5</v>
      </c>
      <c r="C48" s="35">
        <v>5</v>
      </c>
      <c r="D48" s="35">
        <v>5</v>
      </c>
      <c r="E48" s="35">
        <v>2</v>
      </c>
      <c r="F48" s="35">
        <v>5</v>
      </c>
      <c r="G48" s="35">
        <v>4</v>
      </c>
      <c r="H48" s="35">
        <v>5</v>
      </c>
      <c r="I48" s="35">
        <v>5</v>
      </c>
      <c r="J48" s="35">
        <v>3</v>
      </c>
      <c r="K48" s="35">
        <v>5</v>
      </c>
      <c r="L48" s="40">
        <v>3</v>
      </c>
    </row>
    <row r="49" spans="1:12" x14ac:dyDescent="0.25">
      <c r="A49" s="36" t="s">
        <v>32</v>
      </c>
      <c r="B49" s="36">
        <v>5</v>
      </c>
      <c r="C49" s="36">
        <v>4</v>
      </c>
      <c r="D49" s="36">
        <v>5</v>
      </c>
      <c r="E49" s="36">
        <v>1</v>
      </c>
      <c r="F49" s="36">
        <v>5</v>
      </c>
      <c r="G49" s="36">
        <v>4</v>
      </c>
      <c r="H49" s="36">
        <v>4</v>
      </c>
      <c r="I49" s="36">
        <v>3</v>
      </c>
      <c r="J49" s="36">
        <v>5</v>
      </c>
      <c r="K49" s="36">
        <v>3</v>
      </c>
      <c r="L49" s="41">
        <v>4</v>
      </c>
    </row>
    <row r="50" spans="1:12" x14ac:dyDescent="0.25">
      <c r="A50" s="35" t="s">
        <v>32</v>
      </c>
      <c r="B50" s="35">
        <v>4</v>
      </c>
      <c r="C50" s="35">
        <v>5</v>
      </c>
      <c r="D50" s="35">
        <v>4</v>
      </c>
      <c r="E50" s="35">
        <v>2</v>
      </c>
      <c r="F50" s="35">
        <v>5</v>
      </c>
      <c r="G50" s="35">
        <v>4</v>
      </c>
      <c r="H50" s="35">
        <v>5</v>
      </c>
      <c r="I50" s="35">
        <v>4</v>
      </c>
      <c r="J50" s="35">
        <v>4</v>
      </c>
      <c r="K50" s="35">
        <v>2</v>
      </c>
      <c r="L50" s="40">
        <v>2</v>
      </c>
    </row>
    <row r="51" spans="1:12" x14ac:dyDescent="0.25">
      <c r="A51" s="36" t="s">
        <v>32</v>
      </c>
      <c r="B51" s="36">
        <v>4</v>
      </c>
      <c r="C51" s="36">
        <v>5</v>
      </c>
      <c r="D51" s="36">
        <v>4</v>
      </c>
      <c r="E51" s="36">
        <v>3</v>
      </c>
      <c r="F51" s="36">
        <v>4</v>
      </c>
      <c r="G51" s="36">
        <v>2</v>
      </c>
      <c r="H51" s="36">
        <v>4</v>
      </c>
      <c r="I51" s="36">
        <v>4</v>
      </c>
      <c r="J51" s="36">
        <v>4</v>
      </c>
      <c r="K51" s="36">
        <v>4</v>
      </c>
      <c r="L51" s="41">
        <v>4</v>
      </c>
    </row>
    <row r="52" spans="1:12" x14ac:dyDescent="0.25">
      <c r="A52" s="35" t="s">
        <v>32</v>
      </c>
      <c r="B52" s="35">
        <v>4</v>
      </c>
      <c r="C52" s="35">
        <v>4</v>
      </c>
      <c r="D52" s="35">
        <v>5</v>
      </c>
      <c r="E52" s="35">
        <v>5</v>
      </c>
      <c r="F52" s="35">
        <v>3</v>
      </c>
      <c r="G52" s="35">
        <v>3</v>
      </c>
      <c r="H52" s="35">
        <v>4</v>
      </c>
      <c r="I52" s="35">
        <v>2</v>
      </c>
      <c r="J52" s="35">
        <v>3</v>
      </c>
      <c r="K52" s="35">
        <v>2</v>
      </c>
      <c r="L52" s="40">
        <v>4</v>
      </c>
    </row>
    <row r="53" spans="1:12" x14ac:dyDescent="0.25">
      <c r="A53" s="36" t="s">
        <v>32</v>
      </c>
      <c r="B53" s="36">
        <v>3</v>
      </c>
      <c r="C53" s="36">
        <v>5</v>
      </c>
      <c r="D53" s="36">
        <v>5</v>
      </c>
      <c r="E53" s="36">
        <v>4</v>
      </c>
      <c r="F53" s="36">
        <v>5</v>
      </c>
      <c r="G53" s="36">
        <v>4</v>
      </c>
      <c r="H53" s="36">
        <v>5</v>
      </c>
      <c r="I53" s="36">
        <v>5</v>
      </c>
      <c r="J53" s="36">
        <v>5</v>
      </c>
      <c r="K53" s="36">
        <v>3</v>
      </c>
      <c r="L53" s="41">
        <v>4</v>
      </c>
    </row>
    <row r="54" spans="1:12" x14ac:dyDescent="0.25">
      <c r="A54" s="35" t="s">
        <v>42</v>
      </c>
      <c r="B54" s="45"/>
      <c r="C54" s="35">
        <v>5</v>
      </c>
      <c r="D54" s="35">
        <v>5</v>
      </c>
      <c r="E54" s="35">
        <v>3</v>
      </c>
      <c r="F54" s="35">
        <v>5</v>
      </c>
      <c r="G54" s="35">
        <v>3</v>
      </c>
      <c r="H54" s="35">
        <v>5</v>
      </c>
      <c r="I54" s="35">
        <v>3</v>
      </c>
      <c r="J54" s="35">
        <v>5</v>
      </c>
      <c r="K54" s="35">
        <v>5</v>
      </c>
      <c r="L54" s="40">
        <v>5</v>
      </c>
    </row>
    <row r="55" spans="1:12" x14ac:dyDescent="0.25">
      <c r="A55" s="36" t="s">
        <v>46</v>
      </c>
      <c r="B55" s="36">
        <v>3</v>
      </c>
      <c r="C55" s="36">
        <v>5</v>
      </c>
      <c r="D55" s="36">
        <v>3</v>
      </c>
      <c r="E55" s="36">
        <v>3</v>
      </c>
      <c r="F55" s="36">
        <v>5</v>
      </c>
      <c r="G55" s="36">
        <v>3</v>
      </c>
      <c r="H55" s="36">
        <v>3</v>
      </c>
      <c r="I55" s="36">
        <v>4</v>
      </c>
      <c r="J55" s="36">
        <v>1</v>
      </c>
      <c r="K55" s="36">
        <v>4</v>
      </c>
      <c r="L55" s="41">
        <v>4</v>
      </c>
    </row>
    <row r="56" spans="1:12" x14ac:dyDescent="0.25">
      <c r="A56" s="35" t="s">
        <v>42</v>
      </c>
      <c r="B56" s="35">
        <v>5</v>
      </c>
      <c r="C56" s="35">
        <v>5</v>
      </c>
      <c r="D56" s="35">
        <v>4</v>
      </c>
      <c r="E56" s="35">
        <v>3</v>
      </c>
      <c r="F56" s="35">
        <v>5</v>
      </c>
      <c r="G56" s="35">
        <v>5</v>
      </c>
      <c r="H56" s="35">
        <v>5</v>
      </c>
      <c r="I56" s="35">
        <v>5</v>
      </c>
      <c r="J56" s="35">
        <v>5</v>
      </c>
      <c r="K56" s="35">
        <v>4</v>
      </c>
      <c r="L56" s="40">
        <v>3</v>
      </c>
    </row>
    <row r="57" spans="1:12" x14ac:dyDescent="0.25">
      <c r="A57" s="36" t="s">
        <v>32</v>
      </c>
      <c r="B57" s="36">
        <v>5</v>
      </c>
      <c r="C57" s="36">
        <v>5</v>
      </c>
      <c r="D57" s="36">
        <v>5</v>
      </c>
      <c r="E57" s="36">
        <v>5</v>
      </c>
      <c r="F57" s="36">
        <v>5</v>
      </c>
      <c r="G57" s="36">
        <v>5</v>
      </c>
      <c r="H57" s="36">
        <v>5</v>
      </c>
      <c r="I57" s="36">
        <v>5</v>
      </c>
      <c r="J57" s="36">
        <v>5</v>
      </c>
      <c r="K57" s="36">
        <v>5</v>
      </c>
      <c r="L57" s="41">
        <v>5</v>
      </c>
    </row>
    <row r="58" spans="1:12" x14ac:dyDescent="0.25">
      <c r="A58" s="35" t="s">
        <v>32</v>
      </c>
      <c r="B58" s="35">
        <v>4</v>
      </c>
      <c r="C58" s="35">
        <v>5</v>
      </c>
      <c r="D58" s="35">
        <v>5</v>
      </c>
      <c r="E58" s="35">
        <v>3</v>
      </c>
      <c r="F58" s="35">
        <v>5</v>
      </c>
      <c r="G58" s="35">
        <v>4</v>
      </c>
      <c r="H58" s="35">
        <v>5</v>
      </c>
      <c r="I58" s="35">
        <v>4</v>
      </c>
      <c r="J58" s="35">
        <v>5</v>
      </c>
      <c r="K58" s="35">
        <v>3</v>
      </c>
      <c r="L58" s="40">
        <v>4</v>
      </c>
    </row>
    <row r="59" spans="1:12" x14ac:dyDescent="0.25">
      <c r="A59" s="39" t="s">
        <v>42</v>
      </c>
      <c r="B59" s="39">
        <v>2</v>
      </c>
      <c r="C59" s="39">
        <v>4</v>
      </c>
      <c r="D59" s="39">
        <v>4</v>
      </c>
      <c r="E59" s="39">
        <v>3</v>
      </c>
      <c r="F59" s="39">
        <v>4</v>
      </c>
      <c r="G59" s="39">
        <v>4</v>
      </c>
      <c r="H59" s="39">
        <v>3</v>
      </c>
      <c r="I59" s="39">
        <v>5</v>
      </c>
      <c r="J59" s="39">
        <v>4</v>
      </c>
      <c r="K59" s="39">
        <v>4</v>
      </c>
      <c r="L59" s="46">
        <v>4</v>
      </c>
    </row>
    <row r="62" spans="1:12" ht="13" x14ac:dyDescent="0.3">
      <c r="A62" s="53" t="s">
        <v>147</v>
      </c>
      <c r="B62" s="54" t="s">
        <v>148</v>
      </c>
      <c r="C62" s="54" t="s">
        <v>149</v>
      </c>
      <c r="D62" s="54" t="s">
        <v>150</v>
      </c>
      <c r="E62" s="54" t="s">
        <v>151</v>
      </c>
      <c r="F62" s="54" t="s">
        <v>152</v>
      </c>
      <c r="G62" s="54" t="s">
        <v>153</v>
      </c>
      <c r="H62" s="54" t="s">
        <v>154</v>
      </c>
      <c r="I62" s="54" t="s">
        <v>155</v>
      </c>
      <c r="J62" s="54" t="s">
        <v>156</v>
      </c>
      <c r="K62" s="54" t="s">
        <v>157</v>
      </c>
      <c r="L62" s="54" t="s">
        <v>158</v>
      </c>
    </row>
    <row r="63" spans="1:12" x14ac:dyDescent="0.25">
      <c r="A63" s="55" t="s">
        <v>159</v>
      </c>
      <c r="B63" s="56">
        <v>0.51573735533127585</v>
      </c>
      <c r="C63" s="56">
        <v>5.2680370019318827</v>
      </c>
      <c r="D63" s="56">
        <v>1.0532680191096031</v>
      </c>
      <c r="E63" s="56">
        <v>1.7908971206462012</v>
      </c>
      <c r="F63" s="56">
        <v>4.6174920149979091</v>
      </c>
      <c r="G63" s="56">
        <v>3.9992665580961839</v>
      </c>
      <c r="H63" s="56">
        <v>1.5855455131494343</v>
      </c>
      <c r="I63" s="56">
        <v>5.5477839229213384</v>
      </c>
      <c r="J63" s="56">
        <v>2.4337647760356598</v>
      </c>
      <c r="K63" s="56">
        <v>13.440223586365191</v>
      </c>
      <c r="L63" s="56">
        <v>3.4697372705671294</v>
      </c>
    </row>
    <row r="64" spans="1:12" x14ac:dyDescent="0.25">
      <c r="A64" s="55" t="s">
        <v>195</v>
      </c>
      <c r="B64" s="57">
        <v>3</v>
      </c>
      <c r="C64" s="57">
        <v>3</v>
      </c>
      <c r="D64" s="57">
        <v>3</v>
      </c>
      <c r="E64" s="57">
        <v>3</v>
      </c>
      <c r="F64" s="57">
        <v>3</v>
      </c>
      <c r="G64" s="57">
        <v>3</v>
      </c>
      <c r="H64" s="57">
        <v>3</v>
      </c>
      <c r="I64" s="57">
        <v>3</v>
      </c>
      <c r="J64" s="57">
        <v>3</v>
      </c>
      <c r="K64" s="57">
        <v>3</v>
      </c>
      <c r="L64" s="57">
        <v>3</v>
      </c>
    </row>
    <row r="65" spans="1:12" x14ac:dyDescent="0.25">
      <c r="A65" s="55" t="s">
        <v>161</v>
      </c>
      <c r="B65" s="57">
        <v>57</v>
      </c>
      <c r="C65" s="57">
        <v>58</v>
      </c>
      <c r="D65" s="57">
        <v>58</v>
      </c>
      <c r="E65" s="57">
        <v>58</v>
      </c>
      <c r="F65" s="57">
        <v>57</v>
      </c>
      <c r="G65" s="57">
        <v>58</v>
      </c>
      <c r="H65" s="57">
        <v>58</v>
      </c>
      <c r="I65" s="57">
        <v>58</v>
      </c>
      <c r="J65" s="57">
        <v>58</v>
      </c>
      <c r="K65" s="57">
        <v>57</v>
      </c>
      <c r="L65" s="57">
        <v>58</v>
      </c>
    </row>
    <row r="66" spans="1:12" x14ac:dyDescent="0.25">
      <c r="A66" s="55" t="s">
        <v>162</v>
      </c>
      <c r="B66" s="56">
        <v>0.77269669777853389</v>
      </c>
      <c r="C66" s="56">
        <v>7.178939606398238E-2</v>
      </c>
      <c r="D66" s="56">
        <v>0.59058954654191609</v>
      </c>
      <c r="E66" s="56">
        <v>0.40842435458545961</v>
      </c>
      <c r="F66" s="56">
        <v>9.9385802501397988E-2</v>
      </c>
      <c r="G66" s="56">
        <v>0.13538492262185295</v>
      </c>
      <c r="H66" s="56">
        <v>0.4525881371510011</v>
      </c>
      <c r="I66" s="56">
        <v>6.2418600601659685E-2</v>
      </c>
      <c r="J66" s="56">
        <v>0.2961520162675344</v>
      </c>
      <c r="K66" s="56">
        <v>1.2064033387503836E-3</v>
      </c>
      <c r="L66" s="56">
        <v>0.17642337457073806</v>
      </c>
    </row>
    <row r="67" spans="1:12" x14ac:dyDescent="0.25">
      <c r="A67" s="55" t="s">
        <v>163</v>
      </c>
      <c r="B67" s="56">
        <v>1</v>
      </c>
      <c r="C67" s="56">
        <v>1</v>
      </c>
      <c r="D67" s="56">
        <v>1</v>
      </c>
      <c r="E67" s="56">
        <v>1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5.3081746905016873E-2</v>
      </c>
      <c r="L67" s="56">
        <v>1</v>
      </c>
    </row>
    <row r="68" spans="1:12" x14ac:dyDescent="0.25">
      <c r="A68" s="55" t="s">
        <v>164</v>
      </c>
      <c r="B68" s="56">
        <v>1</v>
      </c>
      <c r="C68" s="56">
        <v>1</v>
      </c>
      <c r="D68" s="56">
        <v>1</v>
      </c>
      <c r="E68" s="56">
        <v>1</v>
      </c>
      <c r="F68" s="56">
        <v>1</v>
      </c>
      <c r="G68" s="56">
        <v>1</v>
      </c>
      <c r="H68" s="56">
        <v>1</v>
      </c>
      <c r="I68" s="56">
        <v>1</v>
      </c>
      <c r="J68" s="56">
        <v>1</v>
      </c>
      <c r="K68" s="56">
        <v>5.308174690501688E-2</v>
      </c>
      <c r="L68" s="56">
        <v>1</v>
      </c>
    </row>
    <row r="69" spans="1:12" x14ac:dyDescent="0.25">
      <c r="A69" s="55" t="s">
        <v>165</v>
      </c>
      <c r="B69" s="56">
        <v>-2.7486345271643037E-2</v>
      </c>
      <c r="C69" s="56">
        <v>5.9418854580579689E-2</v>
      </c>
      <c r="D69" s="56">
        <v>-1.7213308743461761E-2</v>
      </c>
      <c r="E69" s="56">
        <v>-3.8018705337054324E-3</v>
      </c>
      <c r="F69" s="56">
        <v>4.8472074351813131E-2</v>
      </c>
      <c r="G69" s="56">
        <v>3.6350301056294256E-2</v>
      </c>
      <c r="H69" s="56">
        <v>-7.5355361245557405E-3</v>
      </c>
      <c r="I69" s="56">
        <v>6.4505162234933425E-2</v>
      </c>
      <c r="J69" s="56">
        <v>7.8866322915574511E-3</v>
      </c>
      <c r="K69" s="56">
        <v>0.21185599234009611</v>
      </c>
      <c r="L69" s="56">
        <v>2.6722495828493262E-2</v>
      </c>
    </row>
    <row r="73" spans="1:12" x14ac:dyDescent="0.25">
      <c r="A73" s="69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topLeftCell="A46" workbookViewId="0">
      <selection activeCell="C72" sqref="C72"/>
    </sheetView>
  </sheetViews>
  <sheetFormatPr defaultRowHeight="12.5" x14ac:dyDescent="0.25"/>
  <cols>
    <col min="1" max="1" width="27" style="13" customWidth="1"/>
    <col min="2" max="12" width="12" customWidth="1"/>
    <col min="14" max="14" width="11.1796875" customWidth="1"/>
  </cols>
  <sheetData>
    <row r="1" spans="1:15" x14ac:dyDescent="0.25">
      <c r="A1" s="9" t="s">
        <v>11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</row>
    <row r="2" spans="1:15" x14ac:dyDescent="0.25">
      <c r="A2" s="10" t="s">
        <v>29</v>
      </c>
      <c r="B2" s="35">
        <v>3</v>
      </c>
      <c r="C2" s="35">
        <v>4</v>
      </c>
      <c r="D2" s="35">
        <v>4</v>
      </c>
      <c r="E2" s="35">
        <v>3</v>
      </c>
      <c r="F2" s="35">
        <v>5</v>
      </c>
      <c r="G2" s="35">
        <v>5</v>
      </c>
      <c r="H2" s="35">
        <v>5</v>
      </c>
      <c r="I2" s="35">
        <v>4</v>
      </c>
      <c r="J2" s="35">
        <v>5</v>
      </c>
      <c r="K2" s="35">
        <v>4</v>
      </c>
      <c r="L2" s="40">
        <v>3</v>
      </c>
    </row>
    <row r="3" spans="1:15" x14ac:dyDescent="0.25">
      <c r="A3" s="11" t="s">
        <v>35</v>
      </c>
      <c r="B3" s="36">
        <v>5</v>
      </c>
      <c r="C3" s="36">
        <v>5</v>
      </c>
      <c r="D3" s="36">
        <v>4</v>
      </c>
      <c r="E3" s="36">
        <v>3</v>
      </c>
      <c r="F3" s="36">
        <v>5</v>
      </c>
      <c r="G3" s="36">
        <v>3</v>
      </c>
      <c r="H3" s="36">
        <v>4</v>
      </c>
      <c r="I3" s="36">
        <v>4</v>
      </c>
      <c r="J3" s="36">
        <v>3</v>
      </c>
      <c r="K3" s="36">
        <v>4</v>
      </c>
      <c r="L3" s="41">
        <v>4</v>
      </c>
    </row>
    <row r="4" spans="1:15" x14ac:dyDescent="0.25">
      <c r="A4" s="10" t="s">
        <v>39</v>
      </c>
      <c r="B4" s="35">
        <v>5</v>
      </c>
      <c r="C4" s="35">
        <v>3</v>
      </c>
      <c r="D4" s="35">
        <v>2</v>
      </c>
      <c r="E4" s="35">
        <v>3</v>
      </c>
      <c r="F4" s="35">
        <v>5</v>
      </c>
      <c r="G4" s="35">
        <v>5</v>
      </c>
      <c r="H4" s="35">
        <v>5</v>
      </c>
      <c r="I4" s="35">
        <v>4</v>
      </c>
      <c r="J4" s="35">
        <v>4</v>
      </c>
      <c r="K4" s="35">
        <v>4</v>
      </c>
      <c r="L4" s="40">
        <v>4</v>
      </c>
    </row>
    <row r="5" spans="1:15" x14ac:dyDescent="0.25">
      <c r="A5" s="11" t="s">
        <v>39</v>
      </c>
      <c r="B5" s="36">
        <v>4</v>
      </c>
      <c r="C5" s="36">
        <v>3</v>
      </c>
      <c r="D5" s="36">
        <v>4</v>
      </c>
      <c r="E5" s="36">
        <v>4</v>
      </c>
      <c r="F5" s="36">
        <v>5</v>
      </c>
      <c r="G5" s="36">
        <v>4</v>
      </c>
      <c r="H5" s="36">
        <v>4</v>
      </c>
      <c r="I5" s="36">
        <v>4</v>
      </c>
      <c r="J5" s="36">
        <v>4</v>
      </c>
      <c r="K5" s="36">
        <v>2</v>
      </c>
      <c r="L5" s="41">
        <v>5</v>
      </c>
    </row>
    <row r="6" spans="1:15" x14ac:dyDescent="0.25">
      <c r="A6" s="10" t="s">
        <v>35</v>
      </c>
      <c r="B6" s="35">
        <v>5</v>
      </c>
      <c r="C6" s="35">
        <v>5</v>
      </c>
      <c r="D6" s="35">
        <v>5</v>
      </c>
      <c r="E6" s="35">
        <v>3</v>
      </c>
      <c r="F6" s="35">
        <v>4</v>
      </c>
      <c r="G6" s="35">
        <v>5</v>
      </c>
      <c r="H6" s="35">
        <v>5</v>
      </c>
      <c r="I6" s="35">
        <v>4</v>
      </c>
      <c r="J6" s="35">
        <v>5</v>
      </c>
      <c r="K6" s="35">
        <v>1</v>
      </c>
      <c r="L6" s="40">
        <v>3</v>
      </c>
      <c r="N6" t="s">
        <v>142</v>
      </c>
      <c r="O6" t="s">
        <v>169</v>
      </c>
    </row>
    <row r="7" spans="1:15" x14ac:dyDescent="0.25">
      <c r="A7" s="11" t="s">
        <v>39</v>
      </c>
      <c r="B7" s="36">
        <v>4</v>
      </c>
      <c r="C7" s="36">
        <v>5</v>
      </c>
      <c r="D7" s="36">
        <v>5</v>
      </c>
      <c r="E7" s="36">
        <v>3</v>
      </c>
      <c r="F7" s="36">
        <v>5</v>
      </c>
      <c r="G7" s="36">
        <v>5</v>
      </c>
      <c r="H7" s="36">
        <v>5</v>
      </c>
      <c r="I7" s="36">
        <v>5</v>
      </c>
      <c r="J7" s="36">
        <v>5</v>
      </c>
      <c r="K7" s="36">
        <v>2</v>
      </c>
      <c r="L7" s="41">
        <v>4</v>
      </c>
      <c r="N7" t="s">
        <v>29</v>
      </c>
      <c r="O7" s="51">
        <v>5</v>
      </c>
    </row>
    <row r="8" spans="1:15" x14ac:dyDescent="0.25">
      <c r="A8" s="10" t="s">
        <v>39</v>
      </c>
      <c r="B8" s="35">
        <v>4</v>
      </c>
      <c r="C8" s="35">
        <v>4</v>
      </c>
      <c r="D8" s="35">
        <v>5</v>
      </c>
      <c r="E8" s="35">
        <v>4</v>
      </c>
      <c r="F8" s="35">
        <v>4</v>
      </c>
      <c r="G8" s="35">
        <v>3</v>
      </c>
      <c r="H8" s="35">
        <v>5</v>
      </c>
      <c r="I8" s="35">
        <v>3</v>
      </c>
      <c r="J8" s="35">
        <v>4</v>
      </c>
      <c r="K8" s="35">
        <v>4</v>
      </c>
      <c r="L8" s="40">
        <v>4</v>
      </c>
      <c r="N8" t="s">
        <v>39</v>
      </c>
      <c r="O8" s="52">
        <v>19</v>
      </c>
    </row>
    <row r="9" spans="1:15" x14ac:dyDescent="0.25">
      <c r="A9" s="10" t="s">
        <v>39</v>
      </c>
      <c r="B9" s="37">
        <v>5</v>
      </c>
      <c r="C9" s="37">
        <v>4</v>
      </c>
      <c r="D9" s="37">
        <v>2</v>
      </c>
      <c r="E9" s="37">
        <v>3</v>
      </c>
      <c r="F9" s="37">
        <v>5</v>
      </c>
      <c r="G9" s="37">
        <v>2</v>
      </c>
      <c r="H9" s="37">
        <v>2</v>
      </c>
      <c r="I9" s="37">
        <v>1</v>
      </c>
      <c r="J9" s="37">
        <v>5</v>
      </c>
      <c r="K9" s="37">
        <v>4</v>
      </c>
      <c r="L9" s="42">
        <v>5</v>
      </c>
      <c r="N9" t="s">
        <v>170</v>
      </c>
      <c r="O9" s="51">
        <v>23</v>
      </c>
    </row>
    <row r="10" spans="1:15" x14ac:dyDescent="0.25">
      <c r="A10" s="11" t="s">
        <v>39</v>
      </c>
      <c r="B10" s="38">
        <v>4</v>
      </c>
      <c r="C10" s="38">
        <v>5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2</v>
      </c>
      <c r="J10" s="38">
        <v>2</v>
      </c>
      <c r="K10" s="38">
        <v>2</v>
      </c>
      <c r="L10" s="43">
        <v>4</v>
      </c>
      <c r="N10" t="s">
        <v>171</v>
      </c>
      <c r="O10" s="52">
        <v>11</v>
      </c>
    </row>
    <row r="11" spans="1:15" x14ac:dyDescent="0.25">
      <c r="A11" s="10" t="s">
        <v>39</v>
      </c>
      <c r="B11" s="37">
        <v>5</v>
      </c>
      <c r="C11" s="37">
        <v>4</v>
      </c>
      <c r="D11" s="37">
        <v>3</v>
      </c>
      <c r="E11" s="37">
        <v>4</v>
      </c>
      <c r="F11" s="37">
        <v>5</v>
      </c>
      <c r="G11" s="37">
        <v>4</v>
      </c>
      <c r="H11" s="37">
        <v>4</v>
      </c>
      <c r="I11" s="37">
        <v>5</v>
      </c>
      <c r="J11" s="37">
        <v>5</v>
      </c>
      <c r="K11" s="37"/>
      <c r="L11" s="42">
        <v>4</v>
      </c>
    </row>
    <row r="12" spans="1:15" x14ac:dyDescent="0.25">
      <c r="A12" s="11" t="s">
        <v>39</v>
      </c>
      <c r="B12" s="38">
        <v>4</v>
      </c>
      <c r="C12" s="38">
        <v>4</v>
      </c>
      <c r="D12" s="38">
        <v>5</v>
      </c>
      <c r="E12" s="38">
        <v>3</v>
      </c>
      <c r="F12" s="38">
        <v>5</v>
      </c>
      <c r="G12" s="38">
        <v>4</v>
      </c>
      <c r="H12" s="38">
        <v>4</v>
      </c>
      <c r="I12" s="38">
        <v>3</v>
      </c>
      <c r="J12" s="38">
        <v>4</v>
      </c>
      <c r="K12" s="38">
        <v>4</v>
      </c>
      <c r="L12" s="43">
        <v>4</v>
      </c>
    </row>
    <row r="13" spans="1:15" x14ac:dyDescent="0.25">
      <c r="A13" s="10" t="s">
        <v>39</v>
      </c>
      <c r="B13" s="37">
        <v>4</v>
      </c>
      <c r="C13" s="37">
        <v>5</v>
      </c>
      <c r="D13" s="37">
        <v>4</v>
      </c>
      <c r="E13" s="37">
        <v>3</v>
      </c>
      <c r="F13" s="37">
        <v>4</v>
      </c>
      <c r="G13" s="37">
        <v>4</v>
      </c>
      <c r="H13" s="37">
        <v>4</v>
      </c>
      <c r="I13" s="37">
        <v>4</v>
      </c>
      <c r="J13" s="37">
        <v>5</v>
      </c>
      <c r="K13" s="37">
        <v>4</v>
      </c>
      <c r="L13" s="42">
        <v>4</v>
      </c>
    </row>
    <row r="14" spans="1:15" x14ac:dyDescent="0.25">
      <c r="A14" s="11" t="s">
        <v>35</v>
      </c>
      <c r="B14" s="38">
        <v>4</v>
      </c>
      <c r="C14" s="38">
        <v>5</v>
      </c>
      <c r="D14" s="38">
        <v>4</v>
      </c>
      <c r="E14" s="38">
        <v>5</v>
      </c>
      <c r="F14" s="38">
        <v>4</v>
      </c>
      <c r="G14" s="38">
        <v>2</v>
      </c>
      <c r="H14" s="38">
        <v>4</v>
      </c>
      <c r="I14" s="38">
        <v>5</v>
      </c>
      <c r="J14" s="38">
        <v>4</v>
      </c>
      <c r="K14" s="38">
        <v>3</v>
      </c>
      <c r="L14" s="43">
        <v>4</v>
      </c>
    </row>
    <row r="15" spans="1:15" x14ac:dyDescent="0.25">
      <c r="A15" s="10" t="s">
        <v>35</v>
      </c>
      <c r="B15" s="37">
        <v>5</v>
      </c>
      <c r="C15" s="37">
        <v>4</v>
      </c>
      <c r="D15" s="37">
        <v>5</v>
      </c>
      <c r="E15" s="37">
        <v>4</v>
      </c>
      <c r="F15" s="37">
        <v>4</v>
      </c>
      <c r="G15" s="37">
        <v>5</v>
      </c>
      <c r="H15" s="37">
        <v>5</v>
      </c>
      <c r="I15" s="37">
        <v>3</v>
      </c>
      <c r="J15" s="37">
        <v>3</v>
      </c>
      <c r="K15" s="37">
        <v>4</v>
      </c>
      <c r="L15" s="42">
        <v>4</v>
      </c>
    </row>
    <row r="16" spans="1:15" x14ac:dyDescent="0.25">
      <c r="A16" s="11" t="s">
        <v>39</v>
      </c>
      <c r="B16" s="38">
        <v>4</v>
      </c>
      <c r="C16" s="38">
        <v>5</v>
      </c>
      <c r="D16" s="38">
        <v>4</v>
      </c>
      <c r="E16" s="38">
        <v>3</v>
      </c>
      <c r="F16" s="38">
        <v>4</v>
      </c>
      <c r="G16" s="38">
        <v>4</v>
      </c>
      <c r="H16" s="38">
        <v>5</v>
      </c>
      <c r="I16" s="38">
        <v>4</v>
      </c>
      <c r="J16" s="38">
        <v>5</v>
      </c>
      <c r="K16" s="38">
        <v>4</v>
      </c>
      <c r="L16" s="43">
        <v>4</v>
      </c>
    </row>
    <row r="17" spans="1:12" x14ac:dyDescent="0.25">
      <c r="A17" s="10" t="s">
        <v>29</v>
      </c>
      <c r="B17" s="37">
        <v>3</v>
      </c>
      <c r="C17" s="37">
        <v>4</v>
      </c>
      <c r="D17" s="37">
        <v>5</v>
      </c>
      <c r="E17" s="37">
        <v>1</v>
      </c>
      <c r="F17" s="37">
        <v>2</v>
      </c>
      <c r="G17" s="37">
        <v>5</v>
      </c>
      <c r="H17" s="37">
        <v>5</v>
      </c>
      <c r="I17" s="37">
        <v>5</v>
      </c>
      <c r="J17" s="37">
        <v>4</v>
      </c>
      <c r="K17" s="37">
        <v>2</v>
      </c>
      <c r="L17" s="42">
        <v>2</v>
      </c>
    </row>
    <row r="18" spans="1:12" x14ac:dyDescent="0.25">
      <c r="A18" s="11" t="s">
        <v>29</v>
      </c>
      <c r="B18" s="38">
        <v>5</v>
      </c>
      <c r="C18" s="38">
        <v>4</v>
      </c>
      <c r="D18" s="38">
        <v>5</v>
      </c>
      <c r="E18" s="38">
        <v>4</v>
      </c>
      <c r="F18" s="38">
        <v>5</v>
      </c>
      <c r="G18" s="38">
        <v>4</v>
      </c>
      <c r="H18" s="38">
        <v>5</v>
      </c>
      <c r="I18" s="38">
        <v>3</v>
      </c>
      <c r="J18" s="38">
        <v>5</v>
      </c>
      <c r="K18" s="38">
        <v>3</v>
      </c>
      <c r="L18" s="43">
        <v>4</v>
      </c>
    </row>
    <row r="19" spans="1:12" x14ac:dyDescent="0.25">
      <c r="A19" s="10" t="s">
        <v>29</v>
      </c>
      <c r="B19" s="37">
        <v>4</v>
      </c>
      <c r="C19" s="37">
        <v>5</v>
      </c>
      <c r="D19" s="37">
        <v>4</v>
      </c>
      <c r="E19" s="37">
        <v>4</v>
      </c>
      <c r="F19" s="37">
        <v>4</v>
      </c>
      <c r="G19" s="37">
        <v>3</v>
      </c>
      <c r="H19" s="37">
        <v>4</v>
      </c>
      <c r="I19" s="37">
        <v>4</v>
      </c>
      <c r="J19" s="37">
        <v>4</v>
      </c>
      <c r="K19" s="37">
        <v>4</v>
      </c>
      <c r="L19" s="42">
        <v>4</v>
      </c>
    </row>
    <row r="20" spans="1:12" x14ac:dyDescent="0.25">
      <c r="A20" s="10" t="s">
        <v>71</v>
      </c>
      <c r="B20" s="35">
        <v>4</v>
      </c>
      <c r="C20" s="35">
        <v>5</v>
      </c>
      <c r="D20" s="35">
        <v>4</v>
      </c>
      <c r="E20" s="35">
        <v>2</v>
      </c>
      <c r="F20" s="35">
        <v>5</v>
      </c>
      <c r="G20" s="35">
        <v>3</v>
      </c>
      <c r="H20" s="35">
        <v>5</v>
      </c>
      <c r="I20" s="35">
        <v>4</v>
      </c>
      <c r="J20" s="35">
        <v>5</v>
      </c>
      <c r="K20" s="35">
        <v>2</v>
      </c>
      <c r="L20" s="40">
        <v>2</v>
      </c>
    </row>
    <row r="21" spans="1:12" x14ac:dyDescent="0.25">
      <c r="A21" s="11" t="s">
        <v>71</v>
      </c>
      <c r="B21" s="36">
        <v>5</v>
      </c>
      <c r="C21" s="36">
        <v>5</v>
      </c>
      <c r="D21" s="36">
        <v>5</v>
      </c>
      <c r="E21" s="36">
        <v>4</v>
      </c>
      <c r="F21" s="36">
        <v>5</v>
      </c>
      <c r="G21" s="36">
        <v>5</v>
      </c>
      <c r="H21" s="36">
        <v>5</v>
      </c>
      <c r="I21" s="36">
        <v>4</v>
      </c>
      <c r="J21" s="36">
        <v>5</v>
      </c>
      <c r="K21" s="36">
        <v>4</v>
      </c>
      <c r="L21" s="41">
        <v>4</v>
      </c>
    </row>
    <row r="22" spans="1:12" x14ac:dyDescent="0.25">
      <c r="A22" s="10" t="s">
        <v>35</v>
      </c>
      <c r="B22" s="35">
        <v>4</v>
      </c>
      <c r="C22" s="35">
        <v>5</v>
      </c>
      <c r="D22" s="35">
        <v>5</v>
      </c>
      <c r="E22" s="35">
        <v>3</v>
      </c>
      <c r="F22" s="35">
        <v>5</v>
      </c>
      <c r="G22" s="35">
        <v>5</v>
      </c>
      <c r="H22" s="35">
        <v>5</v>
      </c>
      <c r="I22" s="35">
        <v>4</v>
      </c>
      <c r="J22" s="35">
        <v>5</v>
      </c>
      <c r="K22" s="35">
        <v>3</v>
      </c>
      <c r="L22" s="40">
        <v>4</v>
      </c>
    </row>
    <row r="23" spans="1:12" x14ac:dyDescent="0.25">
      <c r="A23" s="11" t="s">
        <v>71</v>
      </c>
      <c r="B23" s="36">
        <v>5</v>
      </c>
      <c r="C23" s="36">
        <v>5</v>
      </c>
      <c r="D23" s="36">
        <v>5</v>
      </c>
      <c r="E23" s="36">
        <v>3</v>
      </c>
      <c r="F23" s="36">
        <v>5</v>
      </c>
      <c r="G23" s="36">
        <v>4</v>
      </c>
      <c r="H23" s="36">
        <v>5</v>
      </c>
      <c r="I23" s="36">
        <v>4</v>
      </c>
      <c r="J23" s="36">
        <v>5</v>
      </c>
      <c r="K23" s="36">
        <v>2</v>
      </c>
      <c r="L23" s="41">
        <v>3</v>
      </c>
    </row>
    <row r="24" spans="1:12" x14ac:dyDescent="0.25">
      <c r="A24" s="10" t="s">
        <v>71</v>
      </c>
      <c r="B24" s="35">
        <v>4</v>
      </c>
      <c r="C24" s="35">
        <v>5</v>
      </c>
      <c r="D24" s="35">
        <v>5</v>
      </c>
      <c r="E24" s="35">
        <v>3</v>
      </c>
      <c r="F24" s="35">
        <v>4</v>
      </c>
      <c r="G24" s="35">
        <v>3</v>
      </c>
      <c r="H24" s="35">
        <v>5</v>
      </c>
      <c r="I24" s="35">
        <v>2</v>
      </c>
      <c r="J24" s="35">
        <v>4</v>
      </c>
      <c r="K24" s="35">
        <v>4</v>
      </c>
      <c r="L24" s="40">
        <v>3</v>
      </c>
    </row>
    <row r="25" spans="1:12" x14ac:dyDescent="0.25">
      <c r="A25" s="11" t="s">
        <v>71</v>
      </c>
      <c r="B25" s="36">
        <v>5</v>
      </c>
      <c r="C25" s="36">
        <v>5</v>
      </c>
      <c r="D25" s="36">
        <v>5</v>
      </c>
      <c r="E25" s="36">
        <v>3</v>
      </c>
      <c r="F25" s="36">
        <v>5</v>
      </c>
      <c r="G25" s="36">
        <v>4</v>
      </c>
      <c r="H25" s="36">
        <v>5</v>
      </c>
      <c r="I25" s="36">
        <v>3</v>
      </c>
      <c r="J25" s="36">
        <v>5</v>
      </c>
      <c r="K25" s="36">
        <v>3</v>
      </c>
      <c r="L25" s="41">
        <v>4</v>
      </c>
    </row>
    <row r="26" spans="1:12" x14ac:dyDescent="0.25">
      <c r="A26" s="10" t="s">
        <v>35</v>
      </c>
      <c r="B26" s="35">
        <v>4</v>
      </c>
      <c r="C26" s="35">
        <v>5</v>
      </c>
      <c r="D26" s="35">
        <v>5</v>
      </c>
      <c r="E26" s="35">
        <v>3</v>
      </c>
      <c r="F26" s="35">
        <v>5</v>
      </c>
      <c r="G26" s="35">
        <v>5</v>
      </c>
      <c r="H26" s="35">
        <v>5</v>
      </c>
      <c r="I26" s="35">
        <v>3</v>
      </c>
      <c r="J26" s="35">
        <v>5</v>
      </c>
      <c r="K26" s="35">
        <v>4</v>
      </c>
      <c r="L26" s="40">
        <v>4</v>
      </c>
    </row>
    <row r="27" spans="1:12" x14ac:dyDescent="0.25">
      <c r="A27" s="11" t="s">
        <v>35</v>
      </c>
      <c r="B27" s="36">
        <v>5</v>
      </c>
      <c r="C27" s="36">
        <v>5</v>
      </c>
      <c r="D27" s="36">
        <v>5</v>
      </c>
      <c r="E27" s="36">
        <v>4</v>
      </c>
      <c r="F27" s="36">
        <v>5</v>
      </c>
      <c r="G27" s="36">
        <v>5</v>
      </c>
      <c r="H27" s="36">
        <v>5</v>
      </c>
      <c r="I27" s="36">
        <v>4</v>
      </c>
      <c r="J27" s="36">
        <v>5</v>
      </c>
      <c r="K27" s="36">
        <v>3</v>
      </c>
      <c r="L27" s="41">
        <v>4</v>
      </c>
    </row>
    <row r="28" spans="1:12" x14ac:dyDescent="0.25">
      <c r="A28" s="10" t="s">
        <v>35</v>
      </c>
      <c r="B28" s="35">
        <v>4</v>
      </c>
      <c r="C28" s="35">
        <v>4</v>
      </c>
      <c r="D28" s="35">
        <v>4</v>
      </c>
      <c r="E28" s="35">
        <v>2</v>
      </c>
      <c r="F28" s="35">
        <v>4</v>
      </c>
      <c r="G28" s="35">
        <v>3</v>
      </c>
      <c r="H28" s="35">
        <v>5</v>
      </c>
      <c r="I28" s="35">
        <v>2</v>
      </c>
      <c r="J28" s="35">
        <v>3</v>
      </c>
      <c r="K28" s="35">
        <v>4</v>
      </c>
      <c r="L28" s="40">
        <v>4</v>
      </c>
    </row>
    <row r="29" spans="1:12" x14ac:dyDescent="0.25">
      <c r="A29" s="11" t="s">
        <v>39</v>
      </c>
      <c r="B29" s="36">
        <v>3</v>
      </c>
      <c r="C29" s="36">
        <v>3</v>
      </c>
      <c r="D29" s="36">
        <v>4</v>
      </c>
      <c r="E29" s="36">
        <v>4</v>
      </c>
      <c r="F29" s="36">
        <v>5</v>
      </c>
      <c r="G29" s="36">
        <v>5</v>
      </c>
      <c r="H29" s="36">
        <v>5</v>
      </c>
      <c r="I29" s="36">
        <v>2</v>
      </c>
      <c r="J29" s="36">
        <v>5</v>
      </c>
      <c r="K29" s="36">
        <v>4</v>
      </c>
      <c r="L29" s="41">
        <v>4</v>
      </c>
    </row>
    <row r="30" spans="1:12" x14ac:dyDescent="0.25">
      <c r="A30" s="10" t="s">
        <v>35</v>
      </c>
      <c r="B30" s="35">
        <v>5</v>
      </c>
      <c r="C30" s="35">
        <v>5</v>
      </c>
      <c r="D30" s="35">
        <v>5</v>
      </c>
      <c r="E30" s="35">
        <v>3</v>
      </c>
      <c r="F30" s="35">
        <v>5</v>
      </c>
      <c r="G30" s="35">
        <v>5</v>
      </c>
      <c r="H30" s="35">
        <v>5</v>
      </c>
      <c r="I30" s="35">
        <v>3</v>
      </c>
      <c r="J30" s="35">
        <v>4</v>
      </c>
      <c r="K30" s="35">
        <v>5</v>
      </c>
      <c r="L30" s="40">
        <v>5</v>
      </c>
    </row>
    <row r="31" spans="1:12" x14ac:dyDescent="0.25">
      <c r="A31" s="11" t="s">
        <v>35</v>
      </c>
      <c r="B31" s="36">
        <v>4</v>
      </c>
      <c r="C31" s="36">
        <v>4</v>
      </c>
      <c r="D31" s="36">
        <v>5</v>
      </c>
      <c r="E31" s="36">
        <v>5</v>
      </c>
      <c r="F31" s="36">
        <v>5</v>
      </c>
      <c r="G31" s="36">
        <v>3</v>
      </c>
      <c r="H31" s="36">
        <v>2</v>
      </c>
      <c r="I31" s="36">
        <v>4</v>
      </c>
      <c r="J31" s="36">
        <v>2</v>
      </c>
      <c r="K31" s="36">
        <v>4</v>
      </c>
      <c r="L31" s="41">
        <v>4</v>
      </c>
    </row>
    <row r="32" spans="1:12" x14ac:dyDescent="0.25">
      <c r="A32" s="10" t="s">
        <v>35</v>
      </c>
      <c r="B32" s="35">
        <v>5</v>
      </c>
      <c r="C32" s="35">
        <v>5</v>
      </c>
      <c r="D32" s="35">
        <v>5</v>
      </c>
      <c r="E32" s="35">
        <v>4</v>
      </c>
      <c r="F32" s="35">
        <v>5</v>
      </c>
      <c r="G32" s="35">
        <v>5</v>
      </c>
      <c r="H32" s="35">
        <v>5</v>
      </c>
      <c r="I32" s="35">
        <v>4</v>
      </c>
      <c r="J32" s="35">
        <v>5</v>
      </c>
      <c r="K32" s="35">
        <v>3</v>
      </c>
      <c r="L32" s="40">
        <v>3</v>
      </c>
    </row>
    <row r="33" spans="1:12" x14ac:dyDescent="0.25">
      <c r="A33" s="11" t="s">
        <v>71</v>
      </c>
      <c r="B33" s="36">
        <v>5</v>
      </c>
      <c r="C33" s="36">
        <v>5</v>
      </c>
      <c r="D33" s="36">
        <v>5</v>
      </c>
      <c r="E33" s="36">
        <v>4</v>
      </c>
      <c r="F33" s="44"/>
      <c r="G33" s="36">
        <v>5</v>
      </c>
      <c r="H33" s="36">
        <v>5</v>
      </c>
      <c r="I33" s="36">
        <v>4</v>
      </c>
      <c r="J33" s="36">
        <v>5</v>
      </c>
      <c r="K33" s="36">
        <v>2</v>
      </c>
      <c r="L33" s="41">
        <v>3</v>
      </c>
    </row>
    <row r="34" spans="1:12" x14ac:dyDescent="0.25">
      <c r="A34" s="10" t="s">
        <v>35</v>
      </c>
      <c r="B34" s="35">
        <v>4</v>
      </c>
      <c r="C34" s="35">
        <v>5</v>
      </c>
      <c r="D34" s="35">
        <v>5</v>
      </c>
      <c r="E34" s="35">
        <v>4</v>
      </c>
      <c r="F34" s="35">
        <v>4</v>
      </c>
      <c r="G34" s="35">
        <v>3</v>
      </c>
      <c r="H34" s="35">
        <v>4</v>
      </c>
      <c r="I34" s="35">
        <v>2</v>
      </c>
      <c r="J34" s="35">
        <v>5</v>
      </c>
      <c r="K34" s="35">
        <v>5</v>
      </c>
      <c r="L34" s="40">
        <v>4</v>
      </c>
    </row>
    <row r="35" spans="1:12" x14ac:dyDescent="0.25">
      <c r="A35" s="11" t="s">
        <v>35</v>
      </c>
      <c r="B35" s="36">
        <v>5</v>
      </c>
      <c r="C35" s="36">
        <v>5</v>
      </c>
      <c r="D35" s="36">
        <v>5</v>
      </c>
      <c r="E35" s="36">
        <v>4</v>
      </c>
      <c r="F35" s="36">
        <v>5</v>
      </c>
      <c r="G35" s="36">
        <v>5</v>
      </c>
      <c r="H35" s="36">
        <v>5</v>
      </c>
      <c r="I35" s="36">
        <v>3</v>
      </c>
      <c r="J35" s="36">
        <v>5</v>
      </c>
      <c r="K35" s="36">
        <v>3</v>
      </c>
      <c r="L35" s="41">
        <v>4</v>
      </c>
    </row>
    <row r="36" spans="1:12" x14ac:dyDescent="0.25">
      <c r="A36" s="10" t="s">
        <v>35</v>
      </c>
      <c r="B36" s="35">
        <v>4</v>
      </c>
      <c r="C36" s="35">
        <v>4</v>
      </c>
      <c r="D36" s="35">
        <v>4</v>
      </c>
      <c r="E36" s="35">
        <v>5</v>
      </c>
      <c r="F36" s="35">
        <v>5</v>
      </c>
      <c r="G36" s="35">
        <v>4</v>
      </c>
      <c r="H36" s="35">
        <v>4</v>
      </c>
      <c r="I36" s="35">
        <v>3</v>
      </c>
      <c r="J36" s="35">
        <v>5</v>
      </c>
      <c r="K36" s="35">
        <v>4</v>
      </c>
      <c r="L36" s="40">
        <v>4</v>
      </c>
    </row>
    <row r="37" spans="1:12" x14ac:dyDescent="0.25">
      <c r="A37" s="11" t="s">
        <v>39</v>
      </c>
      <c r="B37" s="36">
        <v>3</v>
      </c>
      <c r="C37" s="36">
        <v>4</v>
      </c>
      <c r="D37" s="36">
        <v>4</v>
      </c>
      <c r="E37" s="36">
        <v>2</v>
      </c>
      <c r="F37" s="36">
        <v>4</v>
      </c>
      <c r="G37" s="36">
        <v>4</v>
      </c>
      <c r="H37" s="36">
        <v>4</v>
      </c>
      <c r="I37" s="36">
        <v>2</v>
      </c>
      <c r="J37" s="36">
        <v>3</v>
      </c>
      <c r="K37" s="36">
        <v>4</v>
      </c>
      <c r="L37" s="41">
        <v>4</v>
      </c>
    </row>
    <row r="38" spans="1:12" x14ac:dyDescent="0.25">
      <c r="A38" s="10" t="s">
        <v>39</v>
      </c>
      <c r="B38" s="35">
        <v>3</v>
      </c>
      <c r="C38" s="35">
        <v>5</v>
      </c>
      <c r="D38" s="35">
        <v>4</v>
      </c>
      <c r="E38" s="35">
        <v>3</v>
      </c>
      <c r="F38" s="35">
        <v>5</v>
      </c>
      <c r="G38" s="35">
        <v>4</v>
      </c>
      <c r="H38" s="35">
        <v>4</v>
      </c>
      <c r="I38" s="35">
        <v>5</v>
      </c>
      <c r="J38" s="35">
        <v>5</v>
      </c>
      <c r="K38" s="35">
        <v>4</v>
      </c>
      <c r="L38" s="40">
        <v>4</v>
      </c>
    </row>
    <row r="39" spans="1:12" x14ac:dyDescent="0.25">
      <c r="A39" s="11" t="s">
        <v>39</v>
      </c>
      <c r="B39" s="36">
        <v>4</v>
      </c>
      <c r="C39" s="36">
        <v>3</v>
      </c>
      <c r="D39" s="36">
        <v>4</v>
      </c>
      <c r="E39" s="36">
        <v>4</v>
      </c>
      <c r="F39" s="36">
        <v>4</v>
      </c>
      <c r="G39" s="36">
        <v>3</v>
      </c>
      <c r="H39" s="36">
        <v>4</v>
      </c>
      <c r="I39" s="36">
        <v>4</v>
      </c>
      <c r="J39" s="36">
        <v>3</v>
      </c>
      <c r="K39" s="36">
        <v>4</v>
      </c>
      <c r="L39" s="41">
        <v>5</v>
      </c>
    </row>
    <row r="40" spans="1:12" x14ac:dyDescent="0.25">
      <c r="A40" s="10" t="s">
        <v>35</v>
      </c>
      <c r="B40" s="35">
        <v>4</v>
      </c>
      <c r="C40" s="35">
        <v>5</v>
      </c>
      <c r="D40" s="35">
        <v>4</v>
      </c>
      <c r="E40" s="35">
        <v>5</v>
      </c>
      <c r="F40" s="35">
        <v>5</v>
      </c>
      <c r="G40" s="35">
        <v>5</v>
      </c>
      <c r="H40" s="35">
        <v>5</v>
      </c>
      <c r="I40" s="35">
        <v>4</v>
      </c>
      <c r="J40" s="35">
        <v>5</v>
      </c>
      <c r="K40" s="35">
        <v>2</v>
      </c>
      <c r="L40" s="40">
        <v>5</v>
      </c>
    </row>
    <row r="41" spans="1:12" x14ac:dyDescent="0.25">
      <c r="A41" s="11" t="s">
        <v>35</v>
      </c>
      <c r="B41" s="36">
        <v>5</v>
      </c>
      <c r="C41" s="36">
        <v>5</v>
      </c>
      <c r="D41" s="36">
        <v>2</v>
      </c>
      <c r="E41" s="36">
        <v>4</v>
      </c>
      <c r="F41" s="36">
        <v>5</v>
      </c>
      <c r="G41" s="36">
        <v>5</v>
      </c>
      <c r="H41" s="36">
        <v>5</v>
      </c>
      <c r="I41" s="36">
        <v>3</v>
      </c>
      <c r="J41" s="36">
        <v>4</v>
      </c>
      <c r="K41" s="36">
        <v>2</v>
      </c>
      <c r="L41" s="41">
        <v>2</v>
      </c>
    </row>
    <row r="42" spans="1:12" x14ac:dyDescent="0.25">
      <c r="A42" s="10" t="s">
        <v>71</v>
      </c>
      <c r="B42" s="35">
        <v>4</v>
      </c>
      <c r="C42" s="35">
        <v>5</v>
      </c>
      <c r="D42" s="35">
        <v>3</v>
      </c>
      <c r="E42" s="35">
        <v>4</v>
      </c>
      <c r="F42" s="35">
        <v>3</v>
      </c>
      <c r="G42" s="35">
        <v>3</v>
      </c>
      <c r="H42" s="35">
        <v>5</v>
      </c>
      <c r="I42" s="35">
        <v>3</v>
      </c>
      <c r="J42" s="35">
        <v>4</v>
      </c>
      <c r="K42" s="35">
        <v>4</v>
      </c>
      <c r="L42" s="40">
        <v>4</v>
      </c>
    </row>
    <row r="43" spans="1:12" x14ac:dyDescent="0.25">
      <c r="A43" s="11" t="s">
        <v>35</v>
      </c>
      <c r="B43" s="36">
        <v>2</v>
      </c>
      <c r="C43" s="36">
        <v>4</v>
      </c>
      <c r="D43" s="36">
        <v>4</v>
      </c>
      <c r="E43" s="36">
        <v>4</v>
      </c>
      <c r="F43" s="36">
        <v>4</v>
      </c>
      <c r="G43" s="36">
        <v>3</v>
      </c>
      <c r="H43" s="36">
        <v>2</v>
      </c>
      <c r="I43" s="36">
        <v>2</v>
      </c>
      <c r="J43" s="36">
        <v>4</v>
      </c>
      <c r="K43" s="36">
        <v>4</v>
      </c>
      <c r="L43" s="41">
        <v>4</v>
      </c>
    </row>
    <row r="44" spans="1:12" x14ac:dyDescent="0.25">
      <c r="A44" s="10" t="s">
        <v>35</v>
      </c>
      <c r="B44" s="35">
        <v>4</v>
      </c>
      <c r="C44" s="35">
        <v>5</v>
      </c>
      <c r="D44" s="35">
        <v>4</v>
      </c>
      <c r="E44" s="35">
        <v>2</v>
      </c>
      <c r="F44" s="35">
        <v>5</v>
      </c>
      <c r="G44" s="35">
        <v>3</v>
      </c>
      <c r="H44" s="35">
        <v>5</v>
      </c>
      <c r="I44" s="35">
        <v>4</v>
      </c>
      <c r="J44" s="35">
        <v>5</v>
      </c>
      <c r="K44" s="35">
        <v>4</v>
      </c>
      <c r="L44" s="40">
        <v>5</v>
      </c>
    </row>
    <row r="45" spans="1:12" x14ac:dyDescent="0.25">
      <c r="A45" s="11" t="s">
        <v>39</v>
      </c>
      <c r="B45" s="36">
        <v>3</v>
      </c>
      <c r="C45" s="36">
        <v>3</v>
      </c>
      <c r="D45" s="36">
        <v>3</v>
      </c>
      <c r="E45" s="36">
        <v>3</v>
      </c>
      <c r="F45" s="36">
        <v>4</v>
      </c>
      <c r="G45" s="36">
        <v>4</v>
      </c>
      <c r="H45" s="36">
        <v>5</v>
      </c>
      <c r="I45" s="36">
        <v>5</v>
      </c>
      <c r="J45" s="36">
        <v>5</v>
      </c>
      <c r="K45" s="36">
        <v>5</v>
      </c>
      <c r="L45" s="41">
        <v>3</v>
      </c>
    </row>
    <row r="46" spans="1:12" x14ac:dyDescent="0.25">
      <c r="A46" s="10" t="s">
        <v>71</v>
      </c>
      <c r="B46" s="35">
        <v>5</v>
      </c>
      <c r="C46" s="35">
        <v>5</v>
      </c>
      <c r="D46" s="35">
        <v>5</v>
      </c>
      <c r="E46" s="35">
        <v>4</v>
      </c>
      <c r="F46" s="35">
        <v>5</v>
      </c>
      <c r="G46" s="35">
        <v>5</v>
      </c>
      <c r="H46" s="35">
        <v>5</v>
      </c>
      <c r="I46" s="35">
        <v>5</v>
      </c>
      <c r="J46" s="35">
        <v>5</v>
      </c>
      <c r="K46" s="35">
        <v>4</v>
      </c>
      <c r="L46" s="40">
        <v>4</v>
      </c>
    </row>
    <row r="47" spans="1:12" x14ac:dyDescent="0.25">
      <c r="A47" s="11" t="s">
        <v>35</v>
      </c>
      <c r="B47" s="36">
        <v>3</v>
      </c>
      <c r="C47" s="36">
        <v>5</v>
      </c>
      <c r="D47" s="36">
        <v>5</v>
      </c>
      <c r="E47" s="36">
        <v>4</v>
      </c>
      <c r="F47" s="36">
        <v>5</v>
      </c>
      <c r="G47" s="36">
        <v>4</v>
      </c>
      <c r="H47" s="36">
        <v>5</v>
      </c>
      <c r="I47" s="36">
        <v>3</v>
      </c>
      <c r="J47" s="36">
        <v>4</v>
      </c>
      <c r="K47" s="36">
        <v>2</v>
      </c>
      <c r="L47" s="41">
        <v>4</v>
      </c>
    </row>
    <row r="48" spans="1:12" x14ac:dyDescent="0.25">
      <c r="A48" s="10" t="s">
        <v>29</v>
      </c>
      <c r="B48" s="35">
        <v>5</v>
      </c>
      <c r="C48" s="35">
        <v>5</v>
      </c>
      <c r="D48" s="35">
        <v>5</v>
      </c>
      <c r="E48" s="35">
        <v>2</v>
      </c>
      <c r="F48" s="35">
        <v>5</v>
      </c>
      <c r="G48" s="35">
        <v>4</v>
      </c>
      <c r="H48" s="35">
        <v>5</v>
      </c>
      <c r="I48" s="35">
        <v>5</v>
      </c>
      <c r="J48" s="35">
        <v>3</v>
      </c>
      <c r="K48" s="35">
        <v>5</v>
      </c>
      <c r="L48" s="40">
        <v>3</v>
      </c>
    </row>
    <row r="49" spans="1:12" x14ac:dyDescent="0.25">
      <c r="A49" s="11" t="s">
        <v>35</v>
      </c>
      <c r="B49" s="36">
        <v>5</v>
      </c>
      <c r="C49" s="36">
        <v>4</v>
      </c>
      <c r="D49" s="36">
        <v>5</v>
      </c>
      <c r="E49" s="36">
        <v>1</v>
      </c>
      <c r="F49" s="36">
        <v>5</v>
      </c>
      <c r="G49" s="36">
        <v>4</v>
      </c>
      <c r="H49" s="36">
        <v>4</v>
      </c>
      <c r="I49" s="36">
        <v>3</v>
      </c>
      <c r="J49" s="36">
        <v>5</v>
      </c>
      <c r="K49" s="36">
        <v>3</v>
      </c>
      <c r="L49" s="41">
        <v>4</v>
      </c>
    </row>
    <row r="50" spans="1:12" x14ac:dyDescent="0.25">
      <c r="A50" s="10" t="s">
        <v>71</v>
      </c>
      <c r="B50" s="35">
        <v>4</v>
      </c>
      <c r="C50" s="35">
        <v>5</v>
      </c>
      <c r="D50" s="35">
        <v>4</v>
      </c>
      <c r="E50" s="35">
        <v>2</v>
      </c>
      <c r="F50" s="35">
        <v>5</v>
      </c>
      <c r="G50" s="35">
        <v>4</v>
      </c>
      <c r="H50" s="35">
        <v>5</v>
      </c>
      <c r="I50" s="35">
        <v>4</v>
      </c>
      <c r="J50" s="35">
        <v>4</v>
      </c>
      <c r="K50" s="35">
        <v>2</v>
      </c>
      <c r="L50" s="40">
        <v>2</v>
      </c>
    </row>
    <row r="51" spans="1:12" x14ac:dyDescent="0.25">
      <c r="A51" s="11" t="s">
        <v>39</v>
      </c>
      <c r="B51" s="36">
        <v>4</v>
      </c>
      <c r="C51" s="36">
        <v>5</v>
      </c>
      <c r="D51" s="36">
        <v>4</v>
      </c>
      <c r="E51" s="36">
        <v>3</v>
      </c>
      <c r="F51" s="36">
        <v>4</v>
      </c>
      <c r="G51" s="36">
        <v>2</v>
      </c>
      <c r="H51" s="36">
        <v>4</v>
      </c>
      <c r="I51" s="36">
        <v>4</v>
      </c>
      <c r="J51" s="36">
        <v>4</v>
      </c>
      <c r="K51" s="36">
        <v>4</v>
      </c>
      <c r="L51" s="41">
        <v>4</v>
      </c>
    </row>
    <row r="52" spans="1:12" x14ac:dyDescent="0.25">
      <c r="A52" s="10" t="s">
        <v>35</v>
      </c>
      <c r="B52" s="35">
        <v>4</v>
      </c>
      <c r="C52" s="35">
        <v>4</v>
      </c>
      <c r="D52" s="35">
        <v>5</v>
      </c>
      <c r="E52" s="35">
        <v>5</v>
      </c>
      <c r="F52" s="35">
        <v>3</v>
      </c>
      <c r="G52" s="35">
        <v>3</v>
      </c>
      <c r="H52" s="35">
        <v>4</v>
      </c>
      <c r="I52" s="35">
        <v>2</v>
      </c>
      <c r="J52" s="35">
        <v>3</v>
      </c>
      <c r="K52" s="35">
        <v>2</v>
      </c>
      <c r="L52" s="40">
        <v>4</v>
      </c>
    </row>
    <row r="53" spans="1:12" x14ac:dyDescent="0.25">
      <c r="A53" s="11" t="s">
        <v>39</v>
      </c>
      <c r="B53" s="36">
        <v>3</v>
      </c>
      <c r="C53" s="36">
        <v>5</v>
      </c>
      <c r="D53" s="36">
        <v>5</v>
      </c>
      <c r="E53" s="36">
        <v>4</v>
      </c>
      <c r="F53" s="36">
        <v>5</v>
      </c>
      <c r="G53" s="36">
        <v>4</v>
      </c>
      <c r="H53" s="36">
        <v>5</v>
      </c>
      <c r="I53" s="36">
        <v>5</v>
      </c>
      <c r="J53" s="36">
        <v>5</v>
      </c>
      <c r="K53" s="36">
        <v>3</v>
      </c>
      <c r="L53" s="41">
        <v>4</v>
      </c>
    </row>
    <row r="54" spans="1:12" x14ac:dyDescent="0.25">
      <c r="A54" s="10" t="s">
        <v>35</v>
      </c>
      <c r="B54" s="45"/>
      <c r="C54" s="35">
        <v>5</v>
      </c>
      <c r="D54" s="35">
        <v>5</v>
      </c>
      <c r="E54" s="35">
        <v>3</v>
      </c>
      <c r="F54" s="35">
        <v>5</v>
      </c>
      <c r="G54" s="35">
        <v>3</v>
      </c>
      <c r="H54" s="35">
        <v>5</v>
      </c>
      <c r="I54" s="35">
        <v>3</v>
      </c>
      <c r="J54" s="35">
        <v>5</v>
      </c>
      <c r="K54" s="35">
        <v>5</v>
      </c>
      <c r="L54" s="40">
        <v>5</v>
      </c>
    </row>
    <row r="55" spans="1:12" x14ac:dyDescent="0.25">
      <c r="A55" s="11" t="s">
        <v>71</v>
      </c>
      <c r="B55" s="36">
        <v>3</v>
      </c>
      <c r="C55" s="36">
        <v>5</v>
      </c>
      <c r="D55" s="36">
        <v>3</v>
      </c>
      <c r="E55" s="36">
        <v>3</v>
      </c>
      <c r="F55" s="36">
        <v>5</v>
      </c>
      <c r="G55" s="36">
        <v>3</v>
      </c>
      <c r="H55" s="36">
        <v>3</v>
      </c>
      <c r="I55" s="36">
        <v>4</v>
      </c>
      <c r="J55" s="36">
        <v>1</v>
      </c>
      <c r="K55" s="36">
        <v>4</v>
      </c>
      <c r="L55" s="41">
        <v>4</v>
      </c>
    </row>
    <row r="56" spans="1:12" x14ac:dyDescent="0.25">
      <c r="A56" s="10" t="s">
        <v>39</v>
      </c>
      <c r="B56" s="35">
        <v>5</v>
      </c>
      <c r="C56" s="35">
        <v>5</v>
      </c>
      <c r="D56" s="35">
        <v>4</v>
      </c>
      <c r="E56" s="35">
        <v>3</v>
      </c>
      <c r="F56" s="35">
        <v>5</v>
      </c>
      <c r="G56" s="35">
        <v>5</v>
      </c>
      <c r="H56" s="35">
        <v>5</v>
      </c>
      <c r="I56" s="35">
        <v>5</v>
      </c>
      <c r="J56" s="35">
        <v>5</v>
      </c>
      <c r="K56" s="35">
        <v>4</v>
      </c>
      <c r="L56" s="40">
        <v>3</v>
      </c>
    </row>
    <row r="57" spans="1:12" x14ac:dyDescent="0.25">
      <c r="A57" s="11" t="s">
        <v>71</v>
      </c>
      <c r="B57" s="36">
        <v>5</v>
      </c>
      <c r="C57" s="36">
        <v>5</v>
      </c>
      <c r="D57" s="36">
        <v>5</v>
      </c>
      <c r="E57" s="36">
        <v>5</v>
      </c>
      <c r="F57" s="36">
        <v>5</v>
      </c>
      <c r="G57" s="36">
        <v>5</v>
      </c>
      <c r="H57" s="36">
        <v>5</v>
      </c>
      <c r="I57" s="36">
        <v>5</v>
      </c>
      <c r="J57" s="36">
        <v>5</v>
      </c>
      <c r="K57" s="36">
        <v>5</v>
      </c>
      <c r="L57" s="41">
        <v>5</v>
      </c>
    </row>
    <row r="58" spans="1:12" x14ac:dyDescent="0.25">
      <c r="A58" s="10" t="s">
        <v>35</v>
      </c>
      <c r="B58" s="35">
        <v>4</v>
      </c>
      <c r="C58" s="35">
        <v>5</v>
      </c>
      <c r="D58" s="35">
        <v>5</v>
      </c>
      <c r="E58" s="35">
        <v>3</v>
      </c>
      <c r="F58" s="35">
        <v>5</v>
      </c>
      <c r="G58" s="35">
        <v>4</v>
      </c>
      <c r="H58" s="35">
        <v>5</v>
      </c>
      <c r="I58" s="35">
        <v>4</v>
      </c>
      <c r="J58" s="35">
        <v>5</v>
      </c>
      <c r="K58" s="35">
        <v>3</v>
      </c>
      <c r="L58" s="40">
        <v>4</v>
      </c>
    </row>
    <row r="59" spans="1:12" x14ac:dyDescent="0.25">
      <c r="A59" s="12" t="s">
        <v>39</v>
      </c>
      <c r="B59" s="39">
        <v>2</v>
      </c>
      <c r="C59" s="39">
        <v>4</v>
      </c>
      <c r="D59" s="39">
        <v>4</v>
      </c>
      <c r="E59" s="39">
        <v>3</v>
      </c>
      <c r="F59" s="39">
        <v>4</v>
      </c>
      <c r="G59" s="39">
        <v>4</v>
      </c>
      <c r="H59" s="39">
        <v>3</v>
      </c>
      <c r="I59" s="39">
        <v>5</v>
      </c>
      <c r="J59" s="39">
        <v>4</v>
      </c>
      <c r="K59" s="39">
        <v>4</v>
      </c>
      <c r="L59" s="46">
        <v>4</v>
      </c>
    </row>
    <row r="62" spans="1:12" ht="13" x14ac:dyDescent="0.3">
      <c r="A62" s="53" t="s">
        <v>147</v>
      </c>
      <c r="B62" s="54" t="s">
        <v>148</v>
      </c>
      <c r="C62" s="54" t="s">
        <v>149</v>
      </c>
      <c r="D62" s="54" t="s">
        <v>150</v>
      </c>
      <c r="E62" s="54" t="s">
        <v>151</v>
      </c>
      <c r="F62" s="54" t="s">
        <v>152</v>
      </c>
      <c r="G62" s="54" t="s">
        <v>153</v>
      </c>
      <c r="H62" s="54" t="s">
        <v>154</v>
      </c>
      <c r="I62" s="54" t="s">
        <v>155</v>
      </c>
      <c r="J62" s="54" t="s">
        <v>156</v>
      </c>
      <c r="K62" s="54" t="s">
        <v>157</v>
      </c>
      <c r="L62" s="54" t="s">
        <v>158</v>
      </c>
    </row>
    <row r="63" spans="1:12" x14ac:dyDescent="0.25">
      <c r="A63" s="55" t="s">
        <v>159</v>
      </c>
      <c r="B63" s="56">
        <v>5.1492998198207971</v>
      </c>
      <c r="C63" s="56">
        <v>12.651343523463559</v>
      </c>
      <c r="D63" s="56">
        <v>9.3552521852975765</v>
      </c>
      <c r="E63" s="56">
        <v>2.7514730623253043</v>
      </c>
      <c r="F63" s="56">
        <v>1.9141481218548611</v>
      </c>
      <c r="G63" s="56">
        <v>0.4068062201844817</v>
      </c>
      <c r="H63" s="56">
        <v>6.750769017049385</v>
      </c>
      <c r="I63" s="56">
        <v>6.002599340616575</v>
      </c>
      <c r="J63" s="56">
        <v>0.65552755894159365</v>
      </c>
      <c r="K63" s="56">
        <v>1.6056481806418204</v>
      </c>
      <c r="L63" s="56">
        <v>8.7097603559250736</v>
      </c>
    </row>
    <row r="64" spans="1:12" x14ac:dyDescent="0.25">
      <c r="A64" s="55" t="s">
        <v>195</v>
      </c>
      <c r="B64" s="57">
        <v>4</v>
      </c>
      <c r="C64" s="57">
        <v>4</v>
      </c>
      <c r="D64" s="57">
        <v>4</v>
      </c>
      <c r="E64" s="57">
        <v>4</v>
      </c>
      <c r="F64" s="57">
        <v>4</v>
      </c>
      <c r="G64" s="57">
        <v>4</v>
      </c>
      <c r="H64" s="57">
        <v>4</v>
      </c>
      <c r="I64" s="57">
        <v>4</v>
      </c>
      <c r="J64" s="57">
        <v>4</v>
      </c>
      <c r="K64" s="57">
        <v>4</v>
      </c>
      <c r="L64" s="57">
        <v>4</v>
      </c>
    </row>
    <row r="65" spans="1:12" x14ac:dyDescent="0.25">
      <c r="A65" s="55" t="s">
        <v>161</v>
      </c>
      <c r="B65" s="57">
        <v>57</v>
      </c>
      <c r="C65" s="58">
        <v>58</v>
      </c>
      <c r="D65" s="57">
        <v>58</v>
      </c>
      <c r="E65" s="57">
        <v>58</v>
      </c>
      <c r="F65" s="57">
        <v>57</v>
      </c>
      <c r="G65" s="57">
        <v>58</v>
      </c>
      <c r="H65" s="57">
        <v>58</v>
      </c>
      <c r="I65" s="57">
        <v>58</v>
      </c>
      <c r="J65" s="57">
        <v>58</v>
      </c>
      <c r="K65" s="57">
        <v>57</v>
      </c>
      <c r="L65" s="57">
        <v>58</v>
      </c>
    </row>
    <row r="66" spans="1:12" x14ac:dyDescent="0.25">
      <c r="A66" s="55" t="s">
        <v>162</v>
      </c>
      <c r="B66" s="56">
        <v>0.16118548390611345</v>
      </c>
      <c r="C66" s="56">
        <v>5.4545979928739986E-3</v>
      </c>
      <c r="D66" s="59">
        <v>2.4922154154154223E-2</v>
      </c>
      <c r="E66" s="56">
        <v>0.43155073743306638</v>
      </c>
      <c r="F66" s="56">
        <v>0.59041534059568479</v>
      </c>
      <c r="G66" s="56">
        <v>0.93883292794262407</v>
      </c>
      <c r="H66" s="56">
        <v>8.0280456694273999E-2</v>
      </c>
      <c r="I66" s="56">
        <v>0.11148382998547883</v>
      </c>
      <c r="J66" s="56">
        <v>0.88361102529243685</v>
      </c>
      <c r="K66" s="56">
        <v>0.65810981180166717</v>
      </c>
      <c r="L66" s="56">
        <v>3.3409352167912479E-2</v>
      </c>
    </row>
    <row r="67" spans="1:12" x14ac:dyDescent="0.25">
      <c r="A67" s="55" t="s">
        <v>163</v>
      </c>
      <c r="B67" s="56">
        <v>1</v>
      </c>
      <c r="C67" s="56">
        <v>0.23454771369358202</v>
      </c>
      <c r="D67" s="56">
        <v>0.99688616616617076</v>
      </c>
      <c r="E67" s="56">
        <v>1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1</v>
      </c>
      <c r="L67" s="56">
        <v>1</v>
      </c>
    </row>
    <row r="68" spans="1:12" x14ac:dyDescent="0.25">
      <c r="A68" s="55" t="s">
        <v>164</v>
      </c>
      <c r="B68" s="56">
        <v>1</v>
      </c>
      <c r="C68" s="56">
        <v>0.24000231168645594</v>
      </c>
      <c r="D68" s="56">
        <v>1</v>
      </c>
      <c r="E68" s="56">
        <v>1</v>
      </c>
      <c r="F68" s="56">
        <v>1</v>
      </c>
      <c r="G68" s="56">
        <v>1</v>
      </c>
      <c r="H68" s="56">
        <v>1</v>
      </c>
      <c r="I68" s="56">
        <v>1</v>
      </c>
      <c r="J68" s="56">
        <v>1</v>
      </c>
      <c r="K68" s="56">
        <v>1</v>
      </c>
      <c r="L68" s="56">
        <v>1</v>
      </c>
    </row>
    <row r="69" spans="1:12" x14ac:dyDescent="0.25">
      <c r="A69" s="55" t="s">
        <v>165</v>
      </c>
      <c r="B69" s="56">
        <v>4.0552826789071642E-2</v>
      </c>
      <c r="C69" s="56">
        <v>0.1787285837678437</v>
      </c>
      <c r="D69" s="56">
        <v>0.11768985528328846</v>
      </c>
      <c r="E69" s="56">
        <v>-4.6023506976795503E-3</v>
      </c>
      <c r="F69" s="56">
        <v>-2.0487771285757333E-2</v>
      </c>
      <c r="G69" s="56">
        <v>-4.8022107033620705E-2</v>
      </c>
      <c r="H69" s="56">
        <v>6.9458685500914538E-2</v>
      </c>
      <c r="I69" s="56">
        <v>5.5603691492899537E-2</v>
      </c>
      <c r="J69" s="56">
        <v>-4.3416156315896411E-2</v>
      </c>
      <c r="K69" s="56">
        <v>-2.6308524893550563E-2</v>
      </c>
      <c r="L69" s="56">
        <v>0.10573630288750137</v>
      </c>
    </row>
    <row r="70" spans="1:12" x14ac:dyDescent="0.25">
      <c r="A70"/>
    </row>
    <row r="71" spans="1:12" x14ac:dyDescent="0.25">
      <c r="A71"/>
    </row>
    <row r="72" spans="1:12" x14ac:dyDescent="0.25">
      <c r="A72"/>
    </row>
    <row r="73" spans="1:12" x14ac:dyDescent="0.25">
      <c r="A73"/>
    </row>
    <row r="74" spans="1:12" x14ac:dyDescent="0.25">
      <c r="A74" t="s">
        <v>172</v>
      </c>
    </row>
    <row r="75" spans="1:12" x14ac:dyDescent="0.25">
      <c r="A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3"/>
  <sheetViews>
    <sheetView topLeftCell="A31" workbookViewId="0">
      <selection activeCell="F74" sqref="F74"/>
    </sheetView>
  </sheetViews>
  <sheetFormatPr defaultRowHeight="12.5" x14ac:dyDescent="0.25"/>
  <cols>
    <col min="1" max="1" width="27" customWidth="1"/>
    <col min="2" max="12" width="12" customWidth="1"/>
  </cols>
  <sheetData>
    <row r="1" spans="1:15" x14ac:dyDescent="0.25">
      <c r="A1" s="2" t="s">
        <v>15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</row>
    <row r="2" spans="1:15" x14ac:dyDescent="0.25">
      <c r="A2" s="4" t="s">
        <v>167</v>
      </c>
      <c r="B2" s="35">
        <v>3</v>
      </c>
      <c r="C2" s="35">
        <v>4</v>
      </c>
      <c r="D2" s="35">
        <v>4</v>
      </c>
      <c r="E2" s="35">
        <v>3</v>
      </c>
      <c r="F2" s="35">
        <v>5</v>
      </c>
      <c r="G2" s="35">
        <v>5</v>
      </c>
      <c r="H2" s="35">
        <v>5</v>
      </c>
      <c r="I2" s="35">
        <v>4</v>
      </c>
      <c r="J2" s="35">
        <v>5</v>
      </c>
      <c r="K2" s="35">
        <v>4</v>
      </c>
      <c r="L2" s="40">
        <v>3</v>
      </c>
    </row>
    <row r="3" spans="1:15" x14ac:dyDescent="0.25">
      <c r="A3" s="6" t="s">
        <v>46</v>
      </c>
      <c r="B3" s="36">
        <v>5</v>
      </c>
      <c r="C3" s="36">
        <v>5</v>
      </c>
      <c r="D3" s="36">
        <v>4</v>
      </c>
      <c r="E3" s="36">
        <v>3</v>
      </c>
      <c r="F3" s="36">
        <v>5</v>
      </c>
      <c r="G3" s="36">
        <v>3</v>
      </c>
      <c r="H3" s="36">
        <v>4</v>
      </c>
      <c r="I3" s="36">
        <v>4</v>
      </c>
      <c r="J3" s="36">
        <v>3</v>
      </c>
      <c r="K3" s="36">
        <v>4</v>
      </c>
      <c r="L3" s="41">
        <v>4</v>
      </c>
    </row>
    <row r="4" spans="1:15" x14ac:dyDescent="0.25">
      <c r="A4" s="4" t="s">
        <v>168</v>
      </c>
      <c r="B4" s="35">
        <v>5</v>
      </c>
      <c r="C4" s="35">
        <v>3</v>
      </c>
      <c r="D4" s="35">
        <v>2</v>
      </c>
      <c r="E4" s="35">
        <v>3</v>
      </c>
      <c r="F4" s="35">
        <v>5</v>
      </c>
      <c r="G4" s="35">
        <v>5</v>
      </c>
      <c r="H4" s="35">
        <v>5</v>
      </c>
      <c r="I4" s="35">
        <v>4</v>
      </c>
      <c r="J4" s="35">
        <v>4</v>
      </c>
      <c r="K4" s="35">
        <v>4</v>
      </c>
      <c r="L4" s="40">
        <v>4</v>
      </c>
    </row>
    <row r="5" spans="1:15" x14ac:dyDescent="0.25">
      <c r="A5" s="4" t="s">
        <v>167</v>
      </c>
      <c r="B5" s="36">
        <v>4</v>
      </c>
      <c r="C5" s="36">
        <v>3</v>
      </c>
      <c r="D5" s="36">
        <v>4</v>
      </c>
      <c r="E5" s="36">
        <v>4</v>
      </c>
      <c r="F5" s="36">
        <v>5</v>
      </c>
      <c r="G5" s="36">
        <v>4</v>
      </c>
      <c r="H5" s="36">
        <v>4</v>
      </c>
      <c r="I5" s="36">
        <v>4</v>
      </c>
      <c r="J5" s="36">
        <v>4</v>
      </c>
      <c r="K5" s="36">
        <v>2</v>
      </c>
      <c r="L5" s="41">
        <v>5</v>
      </c>
      <c r="N5" t="s">
        <v>142</v>
      </c>
      <c r="O5" t="s">
        <v>132</v>
      </c>
    </row>
    <row r="6" spans="1:15" x14ac:dyDescent="0.25">
      <c r="A6" s="6" t="s">
        <v>46</v>
      </c>
      <c r="B6" s="35">
        <v>5</v>
      </c>
      <c r="C6" s="35">
        <v>5</v>
      </c>
      <c r="D6" s="35">
        <v>5</v>
      </c>
      <c r="E6" s="35">
        <v>3</v>
      </c>
      <c r="F6" s="35">
        <v>4</v>
      </c>
      <c r="G6" s="35">
        <v>5</v>
      </c>
      <c r="H6" s="35">
        <v>5</v>
      </c>
      <c r="I6" s="35">
        <v>4</v>
      </c>
      <c r="J6" s="35">
        <v>5</v>
      </c>
      <c r="K6" s="35">
        <v>1</v>
      </c>
      <c r="L6" s="40">
        <v>3</v>
      </c>
      <c r="N6" t="s">
        <v>50</v>
      </c>
      <c r="O6" s="52">
        <v>11</v>
      </c>
    </row>
    <row r="7" spans="1:15" x14ac:dyDescent="0.25">
      <c r="A7" s="4" t="s">
        <v>167</v>
      </c>
      <c r="B7" s="36">
        <v>4</v>
      </c>
      <c r="C7" s="36">
        <v>5</v>
      </c>
      <c r="D7" s="36">
        <v>5</v>
      </c>
      <c r="E7" s="36">
        <v>3</v>
      </c>
      <c r="F7" s="36">
        <v>5</v>
      </c>
      <c r="G7" s="36">
        <v>5</v>
      </c>
      <c r="H7" s="36">
        <v>5</v>
      </c>
      <c r="I7" s="36">
        <v>5</v>
      </c>
      <c r="J7" s="36">
        <v>5</v>
      </c>
      <c r="K7" s="36">
        <v>2</v>
      </c>
      <c r="L7" s="41">
        <v>4</v>
      </c>
      <c r="N7" t="s">
        <v>167</v>
      </c>
      <c r="O7" s="51">
        <v>18</v>
      </c>
    </row>
    <row r="8" spans="1:15" x14ac:dyDescent="0.25">
      <c r="A8" s="4" t="s">
        <v>50</v>
      </c>
      <c r="B8" s="35">
        <v>4</v>
      </c>
      <c r="C8" s="35">
        <v>4</v>
      </c>
      <c r="D8" s="35">
        <v>5</v>
      </c>
      <c r="E8" s="35">
        <v>4</v>
      </c>
      <c r="F8" s="35">
        <v>4</v>
      </c>
      <c r="G8" s="35">
        <v>3</v>
      </c>
      <c r="H8" s="35">
        <v>5</v>
      </c>
      <c r="I8" s="35">
        <v>3</v>
      </c>
      <c r="J8" s="35">
        <v>4</v>
      </c>
      <c r="K8" s="35">
        <v>4</v>
      </c>
      <c r="L8" s="40">
        <v>4</v>
      </c>
      <c r="N8" t="s">
        <v>46</v>
      </c>
      <c r="O8" s="52">
        <v>19</v>
      </c>
    </row>
    <row r="9" spans="1:15" x14ac:dyDescent="0.25">
      <c r="A9" s="4" t="s">
        <v>168</v>
      </c>
      <c r="B9" s="37">
        <v>5</v>
      </c>
      <c r="C9" s="37">
        <v>4</v>
      </c>
      <c r="D9" s="37">
        <v>2</v>
      </c>
      <c r="E9" s="37">
        <v>3</v>
      </c>
      <c r="F9" s="37">
        <v>5</v>
      </c>
      <c r="G9" s="37">
        <v>2</v>
      </c>
      <c r="H9" s="37">
        <v>2</v>
      </c>
      <c r="I9" s="37">
        <v>1</v>
      </c>
      <c r="J9" s="37">
        <v>5</v>
      </c>
      <c r="K9" s="37">
        <v>4</v>
      </c>
      <c r="L9" s="42">
        <v>5</v>
      </c>
      <c r="N9" t="s">
        <v>168</v>
      </c>
      <c r="O9" s="51">
        <v>10</v>
      </c>
    </row>
    <row r="10" spans="1:15" x14ac:dyDescent="0.25">
      <c r="A10" s="6" t="s">
        <v>46</v>
      </c>
      <c r="B10" s="38">
        <v>4</v>
      </c>
      <c r="C10" s="38">
        <v>5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2</v>
      </c>
      <c r="J10" s="38">
        <v>2</v>
      </c>
      <c r="K10" s="38">
        <v>2</v>
      </c>
      <c r="L10" s="43">
        <v>4</v>
      </c>
    </row>
    <row r="11" spans="1:15" x14ac:dyDescent="0.25">
      <c r="A11" s="4" t="s">
        <v>168</v>
      </c>
      <c r="B11" s="37">
        <v>5</v>
      </c>
      <c r="C11" s="37">
        <v>4</v>
      </c>
      <c r="D11" s="37">
        <v>3</v>
      </c>
      <c r="E11" s="37">
        <v>4</v>
      </c>
      <c r="F11" s="37">
        <v>5</v>
      </c>
      <c r="G11" s="37">
        <v>4</v>
      </c>
      <c r="H11" s="37">
        <v>4</v>
      </c>
      <c r="I11" s="37">
        <v>5</v>
      </c>
      <c r="J11" s="37">
        <v>5</v>
      </c>
      <c r="K11" s="37"/>
      <c r="L11" s="42">
        <v>4</v>
      </c>
    </row>
    <row r="12" spans="1:15" x14ac:dyDescent="0.25">
      <c r="A12" s="6" t="s">
        <v>46</v>
      </c>
      <c r="B12" s="38">
        <v>4</v>
      </c>
      <c r="C12" s="38">
        <v>4</v>
      </c>
      <c r="D12" s="38">
        <v>5</v>
      </c>
      <c r="E12" s="38">
        <v>3</v>
      </c>
      <c r="F12" s="38">
        <v>5</v>
      </c>
      <c r="G12" s="38">
        <v>4</v>
      </c>
      <c r="H12" s="38">
        <v>4</v>
      </c>
      <c r="I12" s="38">
        <v>3</v>
      </c>
      <c r="J12" s="38">
        <v>4</v>
      </c>
      <c r="K12" s="38">
        <v>4</v>
      </c>
      <c r="L12" s="43">
        <v>4</v>
      </c>
    </row>
    <row r="13" spans="1:15" x14ac:dyDescent="0.25">
      <c r="A13" s="4" t="s">
        <v>167</v>
      </c>
      <c r="B13" s="37">
        <v>4</v>
      </c>
      <c r="C13" s="37">
        <v>5</v>
      </c>
      <c r="D13" s="37">
        <v>4</v>
      </c>
      <c r="E13" s="37">
        <v>3</v>
      </c>
      <c r="F13" s="37">
        <v>4</v>
      </c>
      <c r="G13" s="37">
        <v>4</v>
      </c>
      <c r="H13" s="37">
        <v>4</v>
      </c>
      <c r="I13" s="37">
        <v>4</v>
      </c>
      <c r="J13" s="37">
        <v>5</v>
      </c>
      <c r="K13" s="37">
        <v>4</v>
      </c>
      <c r="L13" s="42">
        <v>4</v>
      </c>
    </row>
    <row r="14" spans="1:15" x14ac:dyDescent="0.25">
      <c r="A14" s="4" t="s">
        <v>167</v>
      </c>
      <c r="B14" s="38">
        <v>4</v>
      </c>
      <c r="C14" s="38">
        <v>5</v>
      </c>
      <c r="D14" s="38">
        <v>4</v>
      </c>
      <c r="E14" s="38">
        <v>5</v>
      </c>
      <c r="F14" s="38">
        <v>4</v>
      </c>
      <c r="G14" s="38">
        <v>2</v>
      </c>
      <c r="H14" s="38">
        <v>4</v>
      </c>
      <c r="I14" s="38">
        <v>5</v>
      </c>
      <c r="J14" s="38">
        <v>4</v>
      </c>
      <c r="K14" s="38">
        <v>3</v>
      </c>
      <c r="L14" s="43">
        <v>4</v>
      </c>
    </row>
    <row r="15" spans="1:15" x14ac:dyDescent="0.25">
      <c r="A15" s="4" t="s">
        <v>168</v>
      </c>
      <c r="B15" s="37">
        <v>5</v>
      </c>
      <c r="C15" s="37">
        <v>4</v>
      </c>
      <c r="D15" s="37">
        <v>5</v>
      </c>
      <c r="E15" s="37">
        <v>4</v>
      </c>
      <c r="F15" s="37">
        <v>4</v>
      </c>
      <c r="G15" s="37">
        <v>5</v>
      </c>
      <c r="H15" s="37">
        <v>5</v>
      </c>
      <c r="I15" s="37">
        <v>3</v>
      </c>
      <c r="J15" s="37">
        <v>3</v>
      </c>
      <c r="K15" s="37">
        <v>4</v>
      </c>
      <c r="L15" s="42">
        <v>4</v>
      </c>
    </row>
    <row r="16" spans="1:15" x14ac:dyDescent="0.25">
      <c r="A16" s="4" t="s">
        <v>168</v>
      </c>
      <c r="B16" s="38">
        <v>4</v>
      </c>
      <c r="C16" s="38">
        <v>5</v>
      </c>
      <c r="D16" s="38">
        <v>4</v>
      </c>
      <c r="E16" s="38">
        <v>3</v>
      </c>
      <c r="F16" s="38">
        <v>4</v>
      </c>
      <c r="G16" s="38">
        <v>4</v>
      </c>
      <c r="H16" s="38">
        <v>5</v>
      </c>
      <c r="I16" s="38">
        <v>4</v>
      </c>
      <c r="J16" s="38">
        <v>5</v>
      </c>
      <c r="K16" s="38">
        <v>4</v>
      </c>
      <c r="L16" s="43">
        <v>4</v>
      </c>
    </row>
    <row r="17" spans="1:12" x14ac:dyDescent="0.25">
      <c r="A17" s="4" t="s">
        <v>167</v>
      </c>
      <c r="B17" s="37">
        <v>3</v>
      </c>
      <c r="C17" s="37">
        <v>4</v>
      </c>
      <c r="D17" s="37">
        <v>5</v>
      </c>
      <c r="E17" s="37">
        <v>1</v>
      </c>
      <c r="F17" s="37">
        <v>2</v>
      </c>
      <c r="G17" s="37">
        <v>5</v>
      </c>
      <c r="H17" s="37">
        <v>5</v>
      </c>
      <c r="I17" s="37">
        <v>5</v>
      </c>
      <c r="J17" s="37">
        <v>4</v>
      </c>
      <c r="K17" s="37">
        <v>2</v>
      </c>
      <c r="L17" s="42">
        <v>2</v>
      </c>
    </row>
    <row r="18" spans="1:12" x14ac:dyDescent="0.25">
      <c r="A18" s="4" t="s">
        <v>167</v>
      </c>
      <c r="B18" s="38">
        <v>5</v>
      </c>
      <c r="C18" s="38">
        <v>4</v>
      </c>
      <c r="D18" s="38">
        <v>5</v>
      </c>
      <c r="E18" s="38">
        <v>4</v>
      </c>
      <c r="F18" s="38">
        <v>5</v>
      </c>
      <c r="G18" s="38">
        <v>4</v>
      </c>
      <c r="H18" s="38">
        <v>5</v>
      </c>
      <c r="I18" s="38">
        <v>3</v>
      </c>
      <c r="J18" s="38">
        <v>5</v>
      </c>
      <c r="K18" s="38">
        <v>3</v>
      </c>
      <c r="L18" s="43">
        <v>4</v>
      </c>
    </row>
    <row r="19" spans="1:12" x14ac:dyDescent="0.25">
      <c r="A19" s="6" t="s">
        <v>46</v>
      </c>
      <c r="B19" s="37">
        <v>4</v>
      </c>
      <c r="C19" s="37">
        <v>5</v>
      </c>
      <c r="D19" s="37">
        <v>4</v>
      </c>
      <c r="E19" s="37">
        <v>4</v>
      </c>
      <c r="F19" s="37">
        <v>4</v>
      </c>
      <c r="G19" s="37">
        <v>3</v>
      </c>
      <c r="H19" s="37">
        <v>4</v>
      </c>
      <c r="I19" s="37">
        <v>4</v>
      </c>
      <c r="J19" s="37">
        <v>4</v>
      </c>
      <c r="K19" s="37">
        <v>4</v>
      </c>
      <c r="L19" s="42">
        <v>4</v>
      </c>
    </row>
    <row r="20" spans="1:12" x14ac:dyDescent="0.25">
      <c r="A20" s="4" t="s">
        <v>167</v>
      </c>
      <c r="B20" s="35">
        <v>4</v>
      </c>
      <c r="C20" s="35">
        <v>5</v>
      </c>
      <c r="D20" s="35">
        <v>4</v>
      </c>
      <c r="E20" s="35">
        <v>2</v>
      </c>
      <c r="F20" s="35">
        <v>5</v>
      </c>
      <c r="G20" s="35">
        <v>3</v>
      </c>
      <c r="H20" s="35">
        <v>5</v>
      </c>
      <c r="I20" s="35">
        <v>4</v>
      </c>
      <c r="J20" s="35">
        <v>5</v>
      </c>
      <c r="K20" s="35">
        <v>2</v>
      </c>
      <c r="L20" s="40">
        <v>2</v>
      </c>
    </row>
    <row r="21" spans="1:12" x14ac:dyDescent="0.25">
      <c r="A21" s="4" t="s">
        <v>167</v>
      </c>
      <c r="B21" s="36">
        <v>5</v>
      </c>
      <c r="C21" s="36">
        <v>5</v>
      </c>
      <c r="D21" s="36">
        <v>5</v>
      </c>
      <c r="E21" s="36">
        <v>4</v>
      </c>
      <c r="F21" s="36">
        <v>5</v>
      </c>
      <c r="G21" s="36">
        <v>5</v>
      </c>
      <c r="H21" s="36">
        <v>5</v>
      </c>
      <c r="I21" s="36">
        <v>4</v>
      </c>
      <c r="J21" s="36">
        <v>5</v>
      </c>
      <c r="K21" s="36">
        <v>4</v>
      </c>
      <c r="L21" s="41">
        <v>4</v>
      </c>
    </row>
    <row r="22" spans="1:12" x14ac:dyDescent="0.25">
      <c r="A22" s="4" t="s">
        <v>168</v>
      </c>
      <c r="B22" s="35">
        <v>4</v>
      </c>
      <c r="C22" s="35">
        <v>5</v>
      </c>
      <c r="D22" s="35">
        <v>5</v>
      </c>
      <c r="E22" s="35">
        <v>3</v>
      </c>
      <c r="F22" s="35">
        <v>5</v>
      </c>
      <c r="G22" s="35">
        <v>5</v>
      </c>
      <c r="H22" s="35">
        <v>5</v>
      </c>
      <c r="I22" s="35">
        <v>4</v>
      </c>
      <c r="J22" s="35">
        <v>5</v>
      </c>
      <c r="K22" s="35">
        <v>3</v>
      </c>
      <c r="L22" s="40">
        <v>4</v>
      </c>
    </row>
    <row r="23" spans="1:12" x14ac:dyDescent="0.25">
      <c r="A23" s="4" t="s">
        <v>167</v>
      </c>
      <c r="B23" s="36">
        <v>5</v>
      </c>
      <c r="C23" s="36">
        <v>5</v>
      </c>
      <c r="D23" s="36">
        <v>5</v>
      </c>
      <c r="E23" s="36">
        <v>3</v>
      </c>
      <c r="F23" s="36">
        <v>5</v>
      </c>
      <c r="G23" s="36">
        <v>4</v>
      </c>
      <c r="H23" s="36">
        <v>5</v>
      </c>
      <c r="I23" s="36">
        <v>4</v>
      </c>
      <c r="J23" s="36">
        <v>5</v>
      </c>
      <c r="K23" s="36">
        <v>2</v>
      </c>
      <c r="L23" s="41">
        <v>3</v>
      </c>
    </row>
    <row r="24" spans="1:12" x14ac:dyDescent="0.25">
      <c r="A24" s="6" t="s">
        <v>46</v>
      </c>
      <c r="B24" s="35">
        <v>4</v>
      </c>
      <c r="C24" s="35">
        <v>5</v>
      </c>
      <c r="D24" s="35">
        <v>5</v>
      </c>
      <c r="E24" s="35">
        <v>3</v>
      </c>
      <c r="F24" s="35">
        <v>4</v>
      </c>
      <c r="G24" s="35">
        <v>3</v>
      </c>
      <c r="H24" s="35">
        <v>5</v>
      </c>
      <c r="I24" s="35">
        <v>2</v>
      </c>
      <c r="J24" s="35">
        <v>4</v>
      </c>
      <c r="K24" s="35">
        <v>4</v>
      </c>
      <c r="L24" s="40">
        <v>3</v>
      </c>
    </row>
    <row r="25" spans="1:12" x14ac:dyDescent="0.25">
      <c r="A25" s="6" t="s">
        <v>50</v>
      </c>
      <c r="B25" s="36">
        <v>5</v>
      </c>
      <c r="C25" s="36">
        <v>5</v>
      </c>
      <c r="D25" s="36">
        <v>5</v>
      </c>
      <c r="E25" s="36">
        <v>3</v>
      </c>
      <c r="F25" s="36">
        <v>5</v>
      </c>
      <c r="G25" s="36">
        <v>4</v>
      </c>
      <c r="H25" s="36">
        <v>5</v>
      </c>
      <c r="I25" s="36">
        <v>3</v>
      </c>
      <c r="J25" s="36">
        <v>5</v>
      </c>
      <c r="K25" s="36">
        <v>3</v>
      </c>
      <c r="L25" s="41">
        <v>4</v>
      </c>
    </row>
    <row r="26" spans="1:12" x14ac:dyDescent="0.25">
      <c r="A26" s="4" t="s">
        <v>168</v>
      </c>
      <c r="B26" s="35">
        <v>4</v>
      </c>
      <c r="C26" s="35">
        <v>5</v>
      </c>
      <c r="D26" s="35">
        <v>5</v>
      </c>
      <c r="E26" s="35">
        <v>3</v>
      </c>
      <c r="F26" s="35">
        <v>5</v>
      </c>
      <c r="G26" s="35">
        <v>5</v>
      </c>
      <c r="H26" s="35">
        <v>5</v>
      </c>
      <c r="I26" s="35">
        <v>3</v>
      </c>
      <c r="J26" s="35">
        <v>5</v>
      </c>
      <c r="K26" s="35">
        <v>4</v>
      </c>
      <c r="L26" s="40">
        <v>4</v>
      </c>
    </row>
    <row r="27" spans="1:12" x14ac:dyDescent="0.25">
      <c r="A27" s="6" t="s">
        <v>46</v>
      </c>
      <c r="B27" s="36">
        <v>5</v>
      </c>
      <c r="C27" s="36">
        <v>5</v>
      </c>
      <c r="D27" s="36">
        <v>5</v>
      </c>
      <c r="E27" s="36">
        <v>4</v>
      </c>
      <c r="F27" s="36">
        <v>5</v>
      </c>
      <c r="G27" s="36">
        <v>5</v>
      </c>
      <c r="H27" s="36">
        <v>5</v>
      </c>
      <c r="I27" s="36">
        <v>4</v>
      </c>
      <c r="J27" s="36">
        <v>5</v>
      </c>
      <c r="K27" s="36">
        <v>3</v>
      </c>
      <c r="L27" s="41">
        <v>4</v>
      </c>
    </row>
    <row r="28" spans="1:12" x14ac:dyDescent="0.25">
      <c r="A28" s="6" t="s">
        <v>46</v>
      </c>
      <c r="B28" s="35">
        <v>4</v>
      </c>
      <c r="C28" s="35">
        <v>4</v>
      </c>
      <c r="D28" s="35">
        <v>4</v>
      </c>
      <c r="E28" s="35">
        <v>2</v>
      </c>
      <c r="F28" s="35">
        <v>4</v>
      </c>
      <c r="G28" s="35">
        <v>3</v>
      </c>
      <c r="H28" s="35">
        <v>5</v>
      </c>
      <c r="I28" s="35">
        <v>2</v>
      </c>
      <c r="J28" s="35">
        <v>3</v>
      </c>
      <c r="K28" s="35">
        <v>4</v>
      </c>
      <c r="L28" s="40">
        <v>4</v>
      </c>
    </row>
    <row r="29" spans="1:12" x14ac:dyDescent="0.25">
      <c r="A29" s="4" t="s">
        <v>167</v>
      </c>
      <c r="B29" s="36">
        <v>3</v>
      </c>
      <c r="C29" s="36">
        <v>3</v>
      </c>
      <c r="D29" s="36">
        <v>4</v>
      </c>
      <c r="E29" s="36">
        <v>4</v>
      </c>
      <c r="F29" s="36">
        <v>5</v>
      </c>
      <c r="G29" s="36">
        <v>5</v>
      </c>
      <c r="H29" s="36">
        <v>5</v>
      </c>
      <c r="I29" s="36">
        <v>2</v>
      </c>
      <c r="J29" s="36">
        <v>5</v>
      </c>
      <c r="K29" s="36">
        <v>4</v>
      </c>
      <c r="L29" s="41">
        <v>4</v>
      </c>
    </row>
    <row r="30" spans="1:12" x14ac:dyDescent="0.25">
      <c r="A30" s="6" t="s">
        <v>50</v>
      </c>
      <c r="B30" s="35">
        <v>5</v>
      </c>
      <c r="C30" s="35">
        <v>5</v>
      </c>
      <c r="D30" s="35">
        <v>5</v>
      </c>
      <c r="E30" s="35">
        <v>3</v>
      </c>
      <c r="F30" s="35">
        <v>5</v>
      </c>
      <c r="G30" s="35">
        <v>5</v>
      </c>
      <c r="H30" s="35">
        <v>5</v>
      </c>
      <c r="I30" s="35">
        <v>3</v>
      </c>
      <c r="J30" s="35">
        <v>4</v>
      </c>
      <c r="K30" s="35">
        <v>5</v>
      </c>
      <c r="L30" s="40">
        <v>5</v>
      </c>
    </row>
    <row r="31" spans="1:12" x14ac:dyDescent="0.25">
      <c r="A31" s="6" t="s">
        <v>46</v>
      </c>
      <c r="B31" s="36">
        <v>4</v>
      </c>
      <c r="C31" s="36">
        <v>4</v>
      </c>
      <c r="D31" s="36">
        <v>5</v>
      </c>
      <c r="E31" s="36">
        <v>5</v>
      </c>
      <c r="F31" s="36">
        <v>5</v>
      </c>
      <c r="G31" s="36">
        <v>3</v>
      </c>
      <c r="H31" s="36">
        <v>2</v>
      </c>
      <c r="I31" s="36">
        <v>4</v>
      </c>
      <c r="J31" s="36">
        <v>2</v>
      </c>
      <c r="K31" s="36">
        <v>4</v>
      </c>
      <c r="L31" s="41">
        <v>4</v>
      </c>
    </row>
    <row r="32" spans="1:12" x14ac:dyDescent="0.25">
      <c r="A32" s="6" t="s">
        <v>46</v>
      </c>
      <c r="B32" s="35">
        <v>5</v>
      </c>
      <c r="C32" s="35">
        <v>5</v>
      </c>
      <c r="D32" s="35">
        <v>5</v>
      </c>
      <c r="E32" s="35">
        <v>4</v>
      </c>
      <c r="F32" s="35">
        <v>5</v>
      </c>
      <c r="G32" s="35">
        <v>5</v>
      </c>
      <c r="H32" s="35">
        <v>5</v>
      </c>
      <c r="I32" s="35">
        <v>4</v>
      </c>
      <c r="J32" s="35">
        <v>5</v>
      </c>
      <c r="K32" s="35">
        <v>3</v>
      </c>
      <c r="L32" s="40">
        <v>3</v>
      </c>
    </row>
    <row r="33" spans="1:12" x14ac:dyDescent="0.25">
      <c r="A33" s="4" t="s">
        <v>167</v>
      </c>
      <c r="B33" s="36">
        <v>5</v>
      </c>
      <c r="C33" s="36">
        <v>5</v>
      </c>
      <c r="D33" s="36">
        <v>5</v>
      </c>
      <c r="E33" s="36">
        <v>4</v>
      </c>
      <c r="F33" s="44"/>
      <c r="G33" s="36">
        <v>5</v>
      </c>
      <c r="H33" s="36">
        <v>5</v>
      </c>
      <c r="I33" s="36">
        <v>4</v>
      </c>
      <c r="J33" s="36">
        <v>5</v>
      </c>
      <c r="K33" s="36">
        <v>2</v>
      </c>
      <c r="L33" s="41">
        <v>3</v>
      </c>
    </row>
    <row r="34" spans="1:12" x14ac:dyDescent="0.25">
      <c r="A34" s="4" t="s">
        <v>168</v>
      </c>
      <c r="B34" s="35">
        <v>4</v>
      </c>
      <c r="C34" s="35">
        <v>5</v>
      </c>
      <c r="D34" s="35">
        <v>5</v>
      </c>
      <c r="E34" s="35">
        <v>4</v>
      </c>
      <c r="F34" s="35">
        <v>4</v>
      </c>
      <c r="G34" s="35">
        <v>3</v>
      </c>
      <c r="H34" s="35">
        <v>4</v>
      </c>
      <c r="I34" s="35">
        <v>2</v>
      </c>
      <c r="J34" s="35">
        <v>5</v>
      </c>
      <c r="K34" s="35">
        <v>5</v>
      </c>
      <c r="L34" s="40">
        <v>4</v>
      </c>
    </row>
    <row r="35" spans="1:12" x14ac:dyDescent="0.25">
      <c r="A35" s="4" t="s">
        <v>168</v>
      </c>
      <c r="B35" s="36">
        <v>5</v>
      </c>
      <c r="C35" s="36">
        <v>5</v>
      </c>
      <c r="D35" s="36">
        <v>5</v>
      </c>
      <c r="E35" s="36">
        <v>4</v>
      </c>
      <c r="F35" s="36">
        <v>5</v>
      </c>
      <c r="G35" s="36">
        <v>5</v>
      </c>
      <c r="H35" s="36">
        <v>5</v>
      </c>
      <c r="I35" s="36">
        <v>3</v>
      </c>
      <c r="J35" s="36">
        <v>5</v>
      </c>
      <c r="K35" s="36">
        <v>3</v>
      </c>
      <c r="L35" s="41">
        <v>4</v>
      </c>
    </row>
    <row r="36" spans="1:12" x14ac:dyDescent="0.25">
      <c r="A36" s="6" t="s">
        <v>46</v>
      </c>
      <c r="B36" s="35">
        <v>4</v>
      </c>
      <c r="C36" s="35">
        <v>4</v>
      </c>
      <c r="D36" s="35">
        <v>4</v>
      </c>
      <c r="E36" s="35">
        <v>5</v>
      </c>
      <c r="F36" s="35">
        <v>5</v>
      </c>
      <c r="G36" s="35">
        <v>4</v>
      </c>
      <c r="H36" s="35">
        <v>4</v>
      </c>
      <c r="I36" s="35">
        <v>3</v>
      </c>
      <c r="J36" s="35">
        <v>5</v>
      </c>
      <c r="K36" s="35">
        <v>4</v>
      </c>
      <c r="L36" s="40">
        <v>4</v>
      </c>
    </row>
    <row r="37" spans="1:12" x14ac:dyDescent="0.25">
      <c r="A37" s="6" t="s">
        <v>46</v>
      </c>
      <c r="B37" s="36">
        <v>3</v>
      </c>
      <c r="C37" s="36">
        <v>4</v>
      </c>
      <c r="D37" s="36">
        <v>4</v>
      </c>
      <c r="E37" s="36">
        <v>2</v>
      </c>
      <c r="F37" s="36">
        <v>4</v>
      </c>
      <c r="G37" s="36">
        <v>4</v>
      </c>
      <c r="H37" s="36">
        <v>4</v>
      </c>
      <c r="I37" s="36">
        <v>2</v>
      </c>
      <c r="J37" s="36">
        <v>3</v>
      </c>
      <c r="K37" s="36">
        <v>4</v>
      </c>
      <c r="L37" s="41">
        <v>4</v>
      </c>
    </row>
    <row r="38" spans="1:12" x14ac:dyDescent="0.25">
      <c r="A38" s="4" t="s">
        <v>168</v>
      </c>
      <c r="B38" s="35">
        <v>3</v>
      </c>
      <c r="C38" s="35">
        <v>5</v>
      </c>
      <c r="D38" s="35">
        <v>4</v>
      </c>
      <c r="E38" s="35">
        <v>3</v>
      </c>
      <c r="F38" s="35">
        <v>5</v>
      </c>
      <c r="G38" s="35">
        <v>4</v>
      </c>
      <c r="H38" s="35">
        <v>4</v>
      </c>
      <c r="I38" s="35">
        <v>5</v>
      </c>
      <c r="J38" s="35">
        <v>5</v>
      </c>
      <c r="K38" s="35">
        <v>4</v>
      </c>
      <c r="L38" s="40">
        <v>4</v>
      </c>
    </row>
    <row r="39" spans="1:12" x14ac:dyDescent="0.25">
      <c r="A39" s="4" t="s">
        <v>167</v>
      </c>
      <c r="B39" s="36">
        <v>4</v>
      </c>
      <c r="C39" s="36">
        <v>3</v>
      </c>
      <c r="D39" s="36">
        <v>4</v>
      </c>
      <c r="E39" s="36">
        <v>4</v>
      </c>
      <c r="F39" s="36">
        <v>4</v>
      </c>
      <c r="G39" s="36">
        <v>3</v>
      </c>
      <c r="H39" s="36">
        <v>4</v>
      </c>
      <c r="I39" s="36">
        <v>4</v>
      </c>
      <c r="J39" s="36">
        <v>3</v>
      </c>
      <c r="K39" s="36">
        <v>4</v>
      </c>
      <c r="L39" s="41">
        <v>5</v>
      </c>
    </row>
    <row r="40" spans="1:12" x14ac:dyDescent="0.25">
      <c r="A40" s="6" t="s">
        <v>50</v>
      </c>
      <c r="B40" s="35">
        <v>4</v>
      </c>
      <c r="C40" s="35">
        <v>5</v>
      </c>
      <c r="D40" s="35">
        <v>4</v>
      </c>
      <c r="E40" s="35">
        <v>5</v>
      </c>
      <c r="F40" s="35">
        <v>5</v>
      </c>
      <c r="G40" s="35">
        <v>5</v>
      </c>
      <c r="H40" s="35">
        <v>5</v>
      </c>
      <c r="I40" s="35">
        <v>4</v>
      </c>
      <c r="J40" s="35">
        <v>5</v>
      </c>
      <c r="K40" s="35">
        <v>2</v>
      </c>
      <c r="L40" s="40">
        <v>5</v>
      </c>
    </row>
    <row r="41" spans="1:12" x14ac:dyDescent="0.25">
      <c r="A41" s="4" t="s">
        <v>167</v>
      </c>
      <c r="B41" s="36">
        <v>5</v>
      </c>
      <c r="C41" s="36">
        <v>5</v>
      </c>
      <c r="D41" s="36">
        <v>2</v>
      </c>
      <c r="E41" s="36">
        <v>4</v>
      </c>
      <c r="F41" s="36">
        <v>5</v>
      </c>
      <c r="G41" s="36">
        <v>5</v>
      </c>
      <c r="H41" s="36">
        <v>5</v>
      </c>
      <c r="I41" s="36">
        <v>3</v>
      </c>
      <c r="J41" s="36">
        <v>4</v>
      </c>
      <c r="K41" s="36">
        <v>2</v>
      </c>
      <c r="L41" s="41">
        <v>2</v>
      </c>
    </row>
    <row r="42" spans="1:12" x14ac:dyDescent="0.25">
      <c r="A42" s="6" t="s">
        <v>46</v>
      </c>
      <c r="B42" s="35">
        <v>4</v>
      </c>
      <c r="C42" s="35">
        <v>5</v>
      </c>
      <c r="D42" s="35">
        <v>3</v>
      </c>
      <c r="E42" s="35">
        <v>4</v>
      </c>
      <c r="F42" s="35">
        <v>3</v>
      </c>
      <c r="G42" s="35">
        <v>3</v>
      </c>
      <c r="H42" s="35">
        <v>5</v>
      </c>
      <c r="I42" s="35">
        <v>3</v>
      </c>
      <c r="J42" s="35">
        <v>4</v>
      </c>
      <c r="K42" s="35">
        <v>4</v>
      </c>
      <c r="L42" s="40">
        <v>4</v>
      </c>
    </row>
    <row r="43" spans="1:12" x14ac:dyDescent="0.25">
      <c r="A43" s="6" t="s">
        <v>50</v>
      </c>
      <c r="B43" s="36">
        <v>2</v>
      </c>
      <c r="C43" s="36">
        <v>4</v>
      </c>
      <c r="D43" s="36">
        <v>4</v>
      </c>
      <c r="E43" s="36">
        <v>4</v>
      </c>
      <c r="F43" s="36">
        <v>4</v>
      </c>
      <c r="G43" s="36">
        <v>3</v>
      </c>
      <c r="H43" s="36">
        <v>2</v>
      </c>
      <c r="I43" s="36">
        <v>2</v>
      </c>
      <c r="J43" s="36">
        <v>4</v>
      </c>
      <c r="K43" s="36">
        <v>4</v>
      </c>
      <c r="L43" s="41">
        <v>4</v>
      </c>
    </row>
    <row r="44" spans="1:12" x14ac:dyDescent="0.25">
      <c r="A44" s="6" t="s">
        <v>50</v>
      </c>
      <c r="B44" s="35">
        <v>4</v>
      </c>
      <c r="C44" s="35">
        <v>5</v>
      </c>
      <c r="D44" s="35">
        <v>4</v>
      </c>
      <c r="E44" s="35">
        <v>2</v>
      </c>
      <c r="F44" s="35">
        <v>5</v>
      </c>
      <c r="G44" s="35">
        <v>3</v>
      </c>
      <c r="H44" s="35">
        <v>5</v>
      </c>
      <c r="I44" s="35">
        <v>4</v>
      </c>
      <c r="J44" s="35">
        <v>5</v>
      </c>
      <c r="K44" s="35">
        <v>4</v>
      </c>
      <c r="L44" s="40">
        <v>5</v>
      </c>
    </row>
    <row r="45" spans="1:12" x14ac:dyDescent="0.25">
      <c r="A45" s="6" t="s">
        <v>50</v>
      </c>
      <c r="B45" s="36">
        <v>3</v>
      </c>
      <c r="C45" s="36">
        <v>3</v>
      </c>
      <c r="D45" s="36">
        <v>3</v>
      </c>
      <c r="E45" s="36">
        <v>3</v>
      </c>
      <c r="F45" s="36">
        <v>4</v>
      </c>
      <c r="G45" s="36">
        <v>4</v>
      </c>
      <c r="H45" s="36">
        <v>5</v>
      </c>
      <c r="I45" s="36">
        <v>5</v>
      </c>
      <c r="J45" s="36">
        <v>5</v>
      </c>
      <c r="K45" s="36">
        <v>5</v>
      </c>
      <c r="L45" s="41">
        <v>3</v>
      </c>
    </row>
    <row r="46" spans="1:12" x14ac:dyDescent="0.25">
      <c r="A46" s="4" t="s">
        <v>167</v>
      </c>
      <c r="B46" s="35">
        <v>5</v>
      </c>
      <c r="C46" s="35">
        <v>5</v>
      </c>
      <c r="D46" s="35">
        <v>5</v>
      </c>
      <c r="E46" s="35">
        <v>4</v>
      </c>
      <c r="F46" s="35">
        <v>5</v>
      </c>
      <c r="G46" s="35">
        <v>5</v>
      </c>
      <c r="H46" s="35">
        <v>5</v>
      </c>
      <c r="I46" s="35">
        <v>5</v>
      </c>
      <c r="J46" s="35">
        <v>5</v>
      </c>
      <c r="K46" s="35">
        <v>4</v>
      </c>
      <c r="L46" s="40">
        <v>4</v>
      </c>
    </row>
    <row r="47" spans="1:12" x14ac:dyDescent="0.25">
      <c r="A47" s="6" t="s">
        <v>46</v>
      </c>
      <c r="B47" s="36">
        <v>3</v>
      </c>
      <c r="C47" s="36">
        <v>5</v>
      </c>
      <c r="D47" s="36">
        <v>5</v>
      </c>
      <c r="E47" s="36">
        <v>4</v>
      </c>
      <c r="F47" s="36">
        <v>5</v>
      </c>
      <c r="G47" s="36">
        <v>4</v>
      </c>
      <c r="H47" s="36">
        <v>5</v>
      </c>
      <c r="I47" s="36">
        <v>3</v>
      </c>
      <c r="J47" s="36">
        <v>4</v>
      </c>
      <c r="K47" s="36">
        <v>2</v>
      </c>
      <c r="L47" s="41">
        <v>4</v>
      </c>
    </row>
    <row r="48" spans="1:12" x14ac:dyDescent="0.25">
      <c r="A48" s="6" t="s">
        <v>50</v>
      </c>
      <c r="B48" s="35">
        <v>5</v>
      </c>
      <c r="C48" s="35">
        <v>5</v>
      </c>
      <c r="D48" s="35">
        <v>5</v>
      </c>
      <c r="E48" s="35">
        <v>2</v>
      </c>
      <c r="F48" s="35">
        <v>5</v>
      </c>
      <c r="G48" s="35">
        <v>4</v>
      </c>
      <c r="H48" s="35">
        <v>5</v>
      </c>
      <c r="I48" s="35">
        <v>5</v>
      </c>
      <c r="J48" s="35">
        <v>3</v>
      </c>
      <c r="K48" s="35">
        <v>5</v>
      </c>
      <c r="L48" s="40">
        <v>3</v>
      </c>
    </row>
    <row r="49" spans="1:12" x14ac:dyDescent="0.25">
      <c r="A49" s="6" t="s">
        <v>46</v>
      </c>
      <c r="B49" s="36">
        <v>5</v>
      </c>
      <c r="C49" s="36">
        <v>4</v>
      </c>
      <c r="D49" s="36">
        <v>5</v>
      </c>
      <c r="E49" s="36">
        <v>1</v>
      </c>
      <c r="F49" s="36">
        <v>5</v>
      </c>
      <c r="G49" s="36">
        <v>4</v>
      </c>
      <c r="H49" s="36">
        <v>4</v>
      </c>
      <c r="I49" s="36">
        <v>3</v>
      </c>
      <c r="J49" s="36">
        <v>5</v>
      </c>
      <c r="K49" s="36">
        <v>3</v>
      </c>
      <c r="L49" s="41">
        <v>4</v>
      </c>
    </row>
    <row r="50" spans="1:12" x14ac:dyDescent="0.25">
      <c r="A50" s="6" t="s">
        <v>46</v>
      </c>
      <c r="B50" s="35">
        <v>4</v>
      </c>
      <c r="C50" s="35">
        <v>5</v>
      </c>
      <c r="D50" s="35">
        <v>4</v>
      </c>
      <c r="E50" s="35">
        <v>2</v>
      </c>
      <c r="F50" s="35">
        <v>5</v>
      </c>
      <c r="G50" s="35">
        <v>4</v>
      </c>
      <c r="H50" s="35">
        <v>5</v>
      </c>
      <c r="I50" s="35">
        <v>4</v>
      </c>
      <c r="J50" s="35">
        <v>4</v>
      </c>
      <c r="K50" s="35">
        <v>2</v>
      </c>
      <c r="L50" s="40">
        <v>2</v>
      </c>
    </row>
    <row r="51" spans="1:12" x14ac:dyDescent="0.25">
      <c r="A51" s="4" t="s">
        <v>167</v>
      </c>
      <c r="B51" s="36">
        <v>4</v>
      </c>
      <c r="C51" s="36">
        <v>5</v>
      </c>
      <c r="D51" s="36">
        <v>4</v>
      </c>
      <c r="E51" s="36">
        <v>3</v>
      </c>
      <c r="F51" s="36">
        <v>4</v>
      </c>
      <c r="G51" s="36">
        <v>2</v>
      </c>
      <c r="H51" s="36">
        <v>4</v>
      </c>
      <c r="I51" s="36">
        <v>4</v>
      </c>
      <c r="J51" s="36">
        <v>4</v>
      </c>
      <c r="K51" s="36">
        <v>4</v>
      </c>
      <c r="L51" s="41">
        <v>4</v>
      </c>
    </row>
    <row r="52" spans="1:12" x14ac:dyDescent="0.25">
      <c r="A52" s="4" t="s">
        <v>167</v>
      </c>
      <c r="B52" s="35">
        <v>4</v>
      </c>
      <c r="C52" s="35">
        <v>4</v>
      </c>
      <c r="D52" s="35">
        <v>5</v>
      </c>
      <c r="E52" s="35">
        <v>5</v>
      </c>
      <c r="F52" s="35">
        <v>3</v>
      </c>
      <c r="G52" s="35">
        <v>3</v>
      </c>
      <c r="H52" s="35">
        <v>4</v>
      </c>
      <c r="I52" s="35">
        <v>2</v>
      </c>
      <c r="J52" s="35">
        <v>3</v>
      </c>
      <c r="K52" s="35">
        <v>2</v>
      </c>
      <c r="L52" s="40">
        <v>4</v>
      </c>
    </row>
    <row r="53" spans="1:12" x14ac:dyDescent="0.25">
      <c r="A53" s="6" t="s">
        <v>50</v>
      </c>
      <c r="B53" s="36">
        <v>3</v>
      </c>
      <c r="C53" s="36">
        <v>5</v>
      </c>
      <c r="D53" s="36">
        <v>5</v>
      </c>
      <c r="E53" s="36">
        <v>4</v>
      </c>
      <c r="F53" s="36">
        <v>5</v>
      </c>
      <c r="G53" s="36">
        <v>4</v>
      </c>
      <c r="H53" s="36">
        <v>5</v>
      </c>
      <c r="I53" s="36">
        <v>5</v>
      </c>
      <c r="J53" s="36">
        <v>5</v>
      </c>
      <c r="K53" s="36">
        <v>3</v>
      </c>
      <c r="L53" s="41">
        <v>4</v>
      </c>
    </row>
    <row r="54" spans="1:12" x14ac:dyDescent="0.25">
      <c r="A54" s="6" t="s">
        <v>50</v>
      </c>
      <c r="B54" s="45"/>
      <c r="C54" s="35">
        <v>5</v>
      </c>
      <c r="D54" s="35">
        <v>5</v>
      </c>
      <c r="E54" s="35">
        <v>3</v>
      </c>
      <c r="F54" s="35">
        <v>5</v>
      </c>
      <c r="G54" s="35">
        <v>3</v>
      </c>
      <c r="H54" s="35">
        <v>5</v>
      </c>
      <c r="I54" s="35">
        <v>3</v>
      </c>
      <c r="J54" s="35">
        <v>5</v>
      </c>
      <c r="K54" s="35">
        <v>5</v>
      </c>
      <c r="L54" s="40">
        <v>5</v>
      </c>
    </row>
    <row r="55" spans="1:12" x14ac:dyDescent="0.25">
      <c r="A55" s="6" t="s">
        <v>46</v>
      </c>
      <c r="B55" s="36">
        <v>3</v>
      </c>
      <c r="C55" s="36">
        <v>5</v>
      </c>
      <c r="D55" s="36">
        <v>3</v>
      </c>
      <c r="E55" s="36">
        <v>3</v>
      </c>
      <c r="F55" s="36">
        <v>5</v>
      </c>
      <c r="G55" s="36">
        <v>3</v>
      </c>
      <c r="H55" s="36">
        <v>3</v>
      </c>
      <c r="I55" s="36">
        <v>4</v>
      </c>
      <c r="J55" s="36">
        <v>1</v>
      </c>
      <c r="K55" s="36">
        <v>4</v>
      </c>
      <c r="L55" s="41">
        <v>4</v>
      </c>
    </row>
    <row r="56" spans="1:12" x14ac:dyDescent="0.25">
      <c r="A56" s="6" t="s">
        <v>46</v>
      </c>
      <c r="B56" s="35">
        <v>5</v>
      </c>
      <c r="C56" s="35">
        <v>5</v>
      </c>
      <c r="D56" s="35">
        <v>4</v>
      </c>
      <c r="E56" s="35">
        <v>3</v>
      </c>
      <c r="F56" s="35">
        <v>5</v>
      </c>
      <c r="G56" s="35">
        <v>5</v>
      </c>
      <c r="H56" s="35">
        <v>5</v>
      </c>
      <c r="I56" s="35">
        <v>5</v>
      </c>
      <c r="J56" s="35">
        <v>5</v>
      </c>
      <c r="K56" s="35">
        <v>4</v>
      </c>
      <c r="L56" s="40">
        <v>3</v>
      </c>
    </row>
    <row r="57" spans="1:12" x14ac:dyDescent="0.25">
      <c r="A57" s="4" t="s">
        <v>167</v>
      </c>
      <c r="B57" s="36">
        <v>5</v>
      </c>
      <c r="C57" s="36">
        <v>5</v>
      </c>
      <c r="D57" s="36">
        <v>5</v>
      </c>
      <c r="E57" s="36">
        <v>5</v>
      </c>
      <c r="F57" s="36">
        <v>5</v>
      </c>
      <c r="G57" s="36">
        <v>5</v>
      </c>
      <c r="H57" s="36">
        <v>5</v>
      </c>
      <c r="I57" s="36">
        <v>5</v>
      </c>
      <c r="J57" s="36">
        <v>5</v>
      </c>
      <c r="K57" s="36">
        <v>5</v>
      </c>
      <c r="L57" s="41">
        <v>5</v>
      </c>
    </row>
    <row r="58" spans="1:12" x14ac:dyDescent="0.25">
      <c r="A58" s="6" t="s">
        <v>46</v>
      </c>
      <c r="B58" s="35">
        <v>4</v>
      </c>
      <c r="C58" s="35">
        <v>5</v>
      </c>
      <c r="D58" s="35">
        <v>5</v>
      </c>
      <c r="E58" s="35">
        <v>3</v>
      </c>
      <c r="F58" s="35">
        <v>5</v>
      </c>
      <c r="G58" s="35">
        <v>4</v>
      </c>
      <c r="H58" s="35">
        <v>5</v>
      </c>
      <c r="I58" s="35">
        <v>4</v>
      </c>
      <c r="J58" s="35">
        <v>5</v>
      </c>
      <c r="K58" s="35">
        <v>3</v>
      </c>
      <c r="L58" s="40">
        <v>4</v>
      </c>
    </row>
    <row r="59" spans="1:12" x14ac:dyDescent="0.25">
      <c r="A59" s="6" t="s">
        <v>50</v>
      </c>
      <c r="B59" s="39">
        <v>2</v>
      </c>
      <c r="C59" s="39">
        <v>4</v>
      </c>
      <c r="D59" s="39">
        <v>4</v>
      </c>
      <c r="E59" s="39">
        <v>3</v>
      </c>
      <c r="F59" s="39">
        <v>4</v>
      </c>
      <c r="G59" s="39">
        <v>4</v>
      </c>
      <c r="H59" s="39">
        <v>3</v>
      </c>
      <c r="I59" s="39">
        <v>5</v>
      </c>
      <c r="J59" s="39">
        <v>4</v>
      </c>
      <c r="K59" s="39">
        <v>4</v>
      </c>
      <c r="L59" s="46">
        <v>4</v>
      </c>
    </row>
    <row r="62" spans="1:12" ht="13" x14ac:dyDescent="0.3">
      <c r="A62" s="53" t="s">
        <v>147</v>
      </c>
      <c r="B62" s="54" t="s">
        <v>148</v>
      </c>
      <c r="C62" s="54" t="s">
        <v>149</v>
      </c>
      <c r="D62" s="54" t="s">
        <v>150</v>
      </c>
      <c r="E62" s="54" t="s">
        <v>151</v>
      </c>
      <c r="F62" s="54" t="s">
        <v>152</v>
      </c>
      <c r="G62" s="54" t="s">
        <v>153</v>
      </c>
      <c r="H62" s="54" t="s">
        <v>154</v>
      </c>
      <c r="I62" s="54" t="s">
        <v>155</v>
      </c>
      <c r="J62" s="54" t="s">
        <v>156</v>
      </c>
      <c r="K62" s="54" t="s">
        <v>157</v>
      </c>
      <c r="L62" s="54" t="s">
        <v>158</v>
      </c>
    </row>
    <row r="63" spans="1:12" x14ac:dyDescent="0.25">
      <c r="A63" s="55" t="s">
        <v>159</v>
      </c>
      <c r="B63" s="56">
        <v>2.5941324326671649</v>
      </c>
      <c r="C63" s="56">
        <v>0.69844893551094578</v>
      </c>
      <c r="D63" s="56">
        <v>0.54783313558631497</v>
      </c>
      <c r="E63" s="56">
        <v>2.0627570468136334</v>
      </c>
      <c r="F63" s="56">
        <v>0.25641039551335204</v>
      </c>
      <c r="G63" s="56">
        <v>2.8838912774664882</v>
      </c>
      <c r="H63" s="56">
        <v>2.0097573347637656</v>
      </c>
      <c r="I63" s="56">
        <v>3.9112466029138515</v>
      </c>
      <c r="J63" s="56">
        <v>6.2126377201103491</v>
      </c>
      <c r="K63" s="56">
        <v>7.8540594636763927</v>
      </c>
      <c r="L63" s="56">
        <v>5.2132842952345015</v>
      </c>
    </row>
    <row r="64" spans="1:12" x14ac:dyDescent="0.25">
      <c r="A64" s="55" t="s">
        <v>160</v>
      </c>
      <c r="B64" s="57">
        <v>4</v>
      </c>
      <c r="C64" s="57">
        <v>4</v>
      </c>
      <c r="D64" s="57">
        <v>4</v>
      </c>
      <c r="E64" s="57">
        <v>4</v>
      </c>
      <c r="F64" s="57">
        <v>4</v>
      </c>
      <c r="G64" s="57">
        <v>4</v>
      </c>
      <c r="H64" s="57">
        <v>4</v>
      </c>
      <c r="I64" s="57">
        <v>4</v>
      </c>
      <c r="J64" s="57">
        <v>4</v>
      </c>
      <c r="K64" s="57">
        <v>4</v>
      </c>
      <c r="L64" s="57">
        <v>4</v>
      </c>
    </row>
    <row r="65" spans="1:12" x14ac:dyDescent="0.25">
      <c r="A65" s="55" t="s">
        <v>161</v>
      </c>
      <c r="B65" s="57">
        <v>57</v>
      </c>
      <c r="C65" s="57">
        <v>58</v>
      </c>
      <c r="D65" s="57">
        <v>58</v>
      </c>
      <c r="E65" s="57">
        <v>58</v>
      </c>
      <c r="F65" s="57">
        <v>57</v>
      </c>
      <c r="G65" s="57">
        <v>58</v>
      </c>
      <c r="H65" s="57">
        <v>58</v>
      </c>
      <c r="I65" s="57">
        <v>58</v>
      </c>
      <c r="J65" s="57">
        <v>58</v>
      </c>
      <c r="K65" s="57">
        <v>57</v>
      </c>
      <c r="L65" s="57">
        <v>58</v>
      </c>
    </row>
    <row r="66" spans="1:12" x14ac:dyDescent="0.25">
      <c r="A66" s="55" t="s">
        <v>162</v>
      </c>
      <c r="B66" s="56">
        <v>0.45851913591263038</v>
      </c>
      <c r="C66" s="56">
        <v>0.87356871436856653</v>
      </c>
      <c r="D66" s="56">
        <v>0.90826379094881093</v>
      </c>
      <c r="E66" s="56">
        <v>0.55948393171371102</v>
      </c>
      <c r="F66" s="56">
        <v>0.96800658397053918</v>
      </c>
      <c r="G66" s="56">
        <v>0.40987544786195129</v>
      </c>
      <c r="H66" s="56">
        <v>0.57038400509019871</v>
      </c>
      <c r="I66" s="56">
        <v>0.27120875576737247</v>
      </c>
      <c r="J66" s="56">
        <v>0.10171098474055079</v>
      </c>
      <c r="K66" s="56">
        <v>4.9126139592176203E-2</v>
      </c>
      <c r="L66" s="56">
        <v>0.15682925068252898</v>
      </c>
    </row>
    <row r="67" spans="1:12" x14ac:dyDescent="0.25">
      <c r="A67" s="55" t="s">
        <v>163</v>
      </c>
      <c r="B67" s="56">
        <v>1</v>
      </c>
      <c r="C67" s="56">
        <v>1</v>
      </c>
      <c r="D67" s="56">
        <v>1</v>
      </c>
      <c r="E67" s="56">
        <v>1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1</v>
      </c>
      <c r="L67" s="56">
        <v>1</v>
      </c>
    </row>
    <row r="68" spans="1:12" x14ac:dyDescent="0.25">
      <c r="A68" s="55" t="s">
        <v>164</v>
      </c>
      <c r="B68" s="56">
        <v>1</v>
      </c>
      <c r="C68" s="56">
        <v>1</v>
      </c>
      <c r="D68" s="56">
        <v>1</v>
      </c>
      <c r="E68" s="56">
        <v>1</v>
      </c>
      <c r="F68" s="56">
        <v>1</v>
      </c>
      <c r="G68" s="56">
        <v>1</v>
      </c>
      <c r="H68" s="56">
        <v>1</v>
      </c>
      <c r="I68" s="56">
        <v>1</v>
      </c>
      <c r="J68" s="56">
        <v>1</v>
      </c>
      <c r="K68" s="56">
        <v>1</v>
      </c>
      <c r="L68" s="56">
        <v>1</v>
      </c>
    </row>
    <row r="69" spans="1:12" x14ac:dyDescent="0.25">
      <c r="A69" s="55" t="s">
        <v>165</v>
      </c>
      <c r="B69" s="56">
        <v>-7.6578786289214175E-3</v>
      </c>
      <c r="C69" s="56">
        <v>-4.2621316009056553E-2</v>
      </c>
      <c r="D69" s="56">
        <v>-4.5410497489142318E-2</v>
      </c>
      <c r="E69" s="56">
        <v>-1.7356350984932715E-2</v>
      </c>
      <c r="F69" s="56">
        <v>-5.1765841594087696E-2</v>
      </c>
      <c r="G69" s="56">
        <v>-2.1501615283983666E-3</v>
      </c>
      <c r="H69" s="56">
        <v>-1.833782713400434E-2</v>
      </c>
      <c r="I69" s="56">
        <v>1.6874937090997251E-2</v>
      </c>
      <c r="J69" s="56">
        <v>5.9493291113154614E-2</v>
      </c>
      <c r="K69" s="56">
        <v>9.1586027616535712E-2</v>
      </c>
      <c r="L69" s="56">
        <v>4.0986746208046328E-2</v>
      </c>
    </row>
    <row r="70" spans="1:12" ht="14" x14ac:dyDescent="0.25">
      <c r="D70" s="50"/>
      <c r="E70" s="50"/>
    </row>
    <row r="73" spans="1:12" x14ac:dyDescent="0.25">
      <c r="A73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selection activeCell="E17" sqref="E17"/>
    </sheetView>
  </sheetViews>
  <sheetFormatPr defaultRowHeight="12.5" x14ac:dyDescent="0.25"/>
  <cols>
    <col min="1" max="7" width="19" customWidth="1"/>
    <col min="8" max="8" width="42" customWidth="1"/>
    <col min="9" max="11" width="19" customWidth="1"/>
  </cols>
  <sheetData>
    <row r="1" spans="1:11" ht="13" x14ac:dyDescent="0.3">
      <c r="A1" s="64" t="s">
        <v>173</v>
      </c>
      <c r="B1" s="64" t="s">
        <v>174</v>
      </c>
      <c r="C1" s="64" t="s">
        <v>161</v>
      </c>
      <c r="D1" s="64" t="s">
        <v>175</v>
      </c>
      <c r="E1" s="64" t="s">
        <v>176</v>
      </c>
      <c r="F1" s="64" t="s">
        <v>177</v>
      </c>
      <c r="G1" s="64"/>
      <c r="H1" s="64"/>
      <c r="I1" s="64"/>
      <c r="J1" s="64"/>
      <c r="K1" s="64"/>
    </row>
    <row r="2" spans="1:11" x14ac:dyDescent="0.25">
      <c r="A2" t="s">
        <v>148</v>
      </c>
      <c r="B2" t="s">
        <v>178</v>
      </c>
      <c r="C2">
        <v>57</v>
      </c>
      <c r="D2" s="65">
        <v>-0.30787292464080002</v>
      </c>
      <c r="E2" s="66">
        <v>1.981695003263929E-2</v>
      </c>
      <c r="F2" s="65">
        <v>0.81249495133821092</v>
      </c>
    </row>
    <row r="3" spans="1:11" x14ac:dyDescent="0.25">
      <c r="A3" t="s">
        <v>149</v>
      </c>
      <c r="B3" t="s">
        <v>178</v>
      </c>
      <c r="C3">
        <v>58</v>
      </c>
      <c r="D3" s="65">
        <v>-5.7580563865825579E-2</v>
      </c>
      <c r="E3" s="66">
        <v>0.66768237070696856</v>
      </c>
      <c r="F3" s="65">
        <v>1</v>
      </c>
    </row>
    <row r="4" spans="1:11" x14ac:dyDescent="0.25">
      <c r="A4" t="s">
        <v>150</v>
      </c>
      <c r="B4" t="s">
        <v>178</v>
      </c>
      <c r="C4">
        <v>58</v>
      </c>
      <c r="D4" s="65">
        <v>-0.36032526415910854</v>
      </c>
      <c r="E4" s="66">
        <v>5.4624689866861614E-3</v>
      </c>
      <c r="F4" s="65">
        <v>0.23454771369358202</v>
      </c>
    </row>
    <row r="5" spans="1:11" x14ac:dyDescent="0.25">
      <c r="A5" t="s">
        <v>151</v>
      </c>
      <c r="B5" t="s">
        <v>178</v>
      </c>
      <c r="C5">
        <v>58</v>
      </c>
      <c r="D5" s="65">
        <v>-2.6842970896027812E-2</v>
      </c>
      <c r="E5" s="66">
        <v>0.8414682414941439</v>
      </c>
      <c r="F5" s="65">
        <v>1</v>
      </c>
    </row>
    <row r="6" spans="1:11" x14ac:dyDescent="0.25">
      <c r="A6" t="s">
        <v>152</v>
      </c>
      <c r="B6" t="s">
        <v>178</v>
      </c>
      <c r="C6">
        <v>57</v>
      </c>
      <c r="D6" s="65">
        <v>-0.12463248521655049</v>
      </c>
      <c r="E6" s="66">
        <v>0.35563387271688718</v>
      </c>
      <c r="F6" s="65">
        <v>1</v>
      </c>
    </row>
    <row r="7" spans="1:11" x14ac:dyDescent="0.25">
      <c r="A7" t="s">
        <v>153</v>
      </c>
      <c r="B7" t="s">
        <v>178</v>
      </c>
      <c r="C7">
        <v>58</v>
      </c>
      <c r="D7" s="65">
        <v>-0.20113824043907302</v>
      </c>
      <c r="E7" s="66">
        <v>0.1300265321033208</v>
      </c>
      <c r="F7" s="65">
        <v>1</v>
      </c>
    </row>
    <row r="8" spans="1:11" x14ac:dyDescent="0.25">
      <c r="A8" t="s">
        <v>154</v>
      </c>
      <c r="B8" t="s">
        <v>178</v>
      </c>
      <c r="C8">
        <v>58</v>
      </c>
      <c r="D8" s="65">
        <v>-0.14573073437064826</v>
      </c>
      <c r="E8" s="66">
        <v>0.27503888535507215</v>
      </c>
      <c r="F8" s="65">
        <v>1</v>
      </c>
    </row>
    <row r="9" spans="1:11" x14ac:dyDescent="0.25">
      <c r="A9" t="s">
        <v>155</v>
      </c>
      <c r="B9" t="s">
        <v>178</v>
      </c>
      <c r="C9">
        <v>58</v>
      </c>
      <c r="D9" s="65">
        <v>0.12942442686724662</v>
      </c>
      <c r="E9" s="66">
        <v>0.33289915279706211</v>
      </c>
      <c r="F9" s="65">
        <v>1</v>
      </c>
    </row>
    <row r="10" spans="1:11" x14ac:dyDescent="0.25">
      <c r="A10" t="s">
        <v>156</v>
      </c>
      <c r="B10" t="s">
        <v>178</v>
      </c>
      <c r="C10">
        <v>58</v>
      </c>
      <c r="D10" s="65">
        <v>-0.27894722749730283</v>
      </c>
      <c r="E10" s="66">
        <v>3.3968842305406116E-2</v>
      </c>
      <c r="F10" s="65">
        <v>1</v>
      </c>
    </row>
    <row r="11" spans="1:11" x14ac:dyDescent="0.25">
      <c r="A11" t="s">
        <v>157</v>
      </c>
      <c r="B11" t="s">
        <v>178</v>
      </c>
      <c r="C11">
        <v>57</v>
      </c>
      <c r="D11" s="65">
        <v>0.12148834425886101</v>
      </c>
      <c r="E11" s="66">
        <v>0.36799409921939191</v>
      </c>
      <c r="F11" s="65">
        <v>1</v>
      </c>
    </row>
    <row r="12" spans="1:11" x14ac:dyDescent="0.25">
      <c r="A12" t="s">
        <v>158</v>
      </c>
      <c r="B12" t="s">
        <v>178</v>
      </c>
      <c r="C12">
        <v>58</v>
      </c>
      <c r="D12" s="65">
        <v>-0.13653405369904087</v>
      </c>
      <c r="E12" s="66">
        <v>0.30679389032888055</v>
      </c>
      <c r="F12" s="6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tabSelected="1" workbookViewId="0">
      <selection activeCell="A13" sqref="A13:XFD13"/>
    </sheetView>
  </sheetViews>
  <sheetFormatPr defaultRowHeight="12.5" x14ac:dyDescent="0.25"/>
  <cols>
    <col min="1" max="4" width="16" customWidth="1"/>
    <col min="5" max="6" width="23" customWidth="1"/>
    <col min="7" max="13" width="16" customWidth="1"/>
    <col min="14" max="14" width="23" customWidth="1"/>
    <col min="15" max="15" width="16" customWidth="1"/>
  </cols>
  <sheetData>
    <row r="1" spans="1:15" ht="26" x14ac:dyDescent="0.3">
      <c r="A1" s="67" t="s">
        <v>173</v>
      </c>
      <c r="B1" s="67" t="s">
        <v>182</v>
      </c>
      <c r="C1" s="67" t="s">
        <v>183</v>
      </c>
      <c r="D1" s="67" t="s">
        <v>184</v>
      </c>
      <c r="E1" s="67" t="s">
        <v>185</v>
      </c>
      <c r="F1" s="67" t="s">
        <v>186</v>
      </c>
      <c r="G1" s="68" t="s">
        <v>187</v>
      </c>
      <c r="H1" s="68" t="s">
        <v>188</v>
      </c>
      <c r="I1" s="68" t="s">
        <v>189</v>
      </c>
      <c r="J1" s="68" t="s">
        <v>190</v>
      </c>
      <c r="K1" s="68" t="s">
        <v>191</v>
      </c>
      <c r="L1" s="70" t="s">
        <v>176</v>
      </c>
      <c r="M1" s="70" t="s">
        <v>192</v>
      </c>
      <c r="N1" s="70" t="s">
        <v>193</v>
      </c>
      <c r="O1" s="70" t="s">
        <v>194</v>
      </c>
    </row>
    <row r="2" spans="1:15" x14ac:dyDescent="0.25">
      <c r="A2" t="s">
        <v>149</v>
      </c>
      <c r="B2" t="s">
        <v>181</v>
      </c>
      <c r="C2">
        <v>1</v>
      </c>
      <c r="D2">
        <v>2</v>
      </c>
      <c r="E2" t="s">
        <v>29</v>
      </c>
      <c r="F2" t="s">
        <v>71</v>
      </c>
      <c r="G2" s="65">
        <v>24.1</v>
      </c>
      <c r="H2" s="65">
        <v>40</v>
      </c>
      <c r="I2" s="65">
        <v>-15.899999999999999</v>
      </c>
      <c r="J2" s="65">
        <v>7.7229540422532601</v>
      </c>
      <c r="K2" s="65">
        <v>-2.058797697488433</v>
      </c>
      <c r="L2" s="66">
        <v>3.9513622343772897E-2</v>
      </c>
      <c r="M2" s="66">
        <v>0.237081734062637</v>
      </c>
      <c r="N2" t="s">
        <v>71</v>
      </c>
      <c r="O2" s="66">
        <v>0.23454771369358199</v>
      </c>
    </row>
    <row r="3" spans="1:15" x14ac:dyDescent="0.25">
      <c r="A3" t="s">
        <v>149</v>
      </c>
      <c r="B3" t="s">
        <v>181</v>
      </c>
      <c r="C3">
        <v>1</v>
      </c>
      <c r="D3">
        <v>3</v>
      </c>
      <c r="E3" t="s">
        <v>29</v>
      </c>
      <c r="F3" t="s">
        <v>39</v>
      </c>
      <c r="G3" s="65">
        <v>24.1</v>
      </c>
      <c r="H3" s="65">
        <v>21.894736842105299</v>
      </c>
      <c r="I3" s="65">
        <v>2.2052631578947022</v>
      </c>
      <c r="J3" s="65">
        <v>7.1969522635388197</v>
      </c>
      <c r="K3" s="65">
        <v>0.30641625470645406</v>
      </c>
      <c r="L3" s="66">
        <v>0.75928773373070901</v>
      </c>
      <c r="M3" s="66">
        <v>1</v>
      </c>
      <c r="N3" t="s">
        <v>29</v>
      </c>
      <c r="O3" s="66">
        <v>0.23454771369358199</v>
      </c>
    </row>
    <row r="4" spans="1:15" x14ac:dyDescent="0.25">
      <c r="A4" t="s">
        <v>149</v>
      </c>
      <c r="B4" t="s">
        <v>181</v>
      </c>
      <c r="C4">
        <v>1</v>
      </c>
      <c r="D4">
        <v>4</v>
      </c>
      <c r="E4" t="s">
        <v>29</v>
      </c>
      <c r="F4" t="s">
        <v>35</v>
      </c>
      <c r="G4" s="65">
        <v>24.1</v>
      </c>
      <c r="H4" s="65">
        <v>31.934782608695699</v>
      </c>
      <c r="I4" s="65">
        <v>-7.8347826086956971</v>
      </c>
      <c r="J4" s="65">
        <v>7.0653698276109598</v>
      </c>
      <c r="K4" s="65">
        <v>-1.1088991517581892</v>
      </c>
      <c r="L4" s="66">
        <v>0.26747368981315101</v>
      </c>
      <c r="M4" s="66">
        <v>1</v>
      </c>
      <c r="N4" t="s">
        <v>35</v>
      </c>
      <c r="O4" s="66">
        <v>0.23454771369358199</v>
      </c>
    </row>
    <row r="5" spans="1:15" x14ac:dyDescent="0.25">
      <c r="A5" t="s">
        <v>149</v>
      </c>
      <c r="B5" t="s">
        <v>181</v>
      </c>
      <c r="C5">
        <v>2</v>
      </c>
      <c r="D5">
        <v>3</v>
      </c>
      <c r="E5" t="s">
        <v>71</v>
      </c>
      <c r="F5" t="s">
        <v>39</v>
      </c>
      <c r="G5" s="65">
        <v>40</v>
      </c>
      <c r="H5" s="65">
        <v>21.894736842105299</v>
      </c>
      <c r="I5" s="65">
        <v>18.105263157894701</v>
      </c>
      <c r="J5" s="65">
        <v>5.4249068846039199</v>
      </c>
      <c r="K5" s="65">
        <v>3.3374329814356973</v>
      </c>
      <c r="L5" s="66">
        <v>8.4556111108914005E-4</v>
      </c>
      <c r="M5" s="66">
        <v>5.0733666665348396E-3</v>
      </c>
      <c r="N5" t="s">
        <v>71</v>
      </c>
      <c r="O5" s="66">
        <v>0.23454771369358199</v>
      </c>
    </row>
    <row r="6" spans="1:15" x14ac:dyDescent="0.25">
      <c r="A6" t="s">
        <v>149</v>
      </c>
      <c r="B6" t="s">
        <v>181</v>
      </c>
      <c r="C6">
        <v>2</v>
      </c>
      <c r="D6">
        <v>4</v>
      </c>
      <c r="E6" t="s">
        <v>71</v>
      </c>
      <c r="F6" t="s">
        <v>35</v>
      </c>
      <c r="G6" s="65">
        <v>40</v>
      </c>
      <c r="H6" s="65">
        <v>31.934782608695699</v>
      </c>
      <c r="I6" s="65">
        <v>8.0652173913043015</v>
      </c>
      <c r="J6" s="65">
        <v>5.2490897900380604</v>
      </c>
      <c r="K6" s="65">
        <v>1.5364982718738789</v>
      </c>
      <c r="L6" s="66">
        <v>0.124416221304292</v>
      </c>
      <c r="M6" s="66">
        <v>0.74649732782575196</v>
      </c>
      <c r="N6" t="s">
        <v>71</v>
      </c>
      <c r="O6" s="66">
        <v>0.23454771369358199</v>
      </c>
    </row>
    <row r="7" spans="1:15" x14ac:dyDescent="0.25">
      <c r="A7" t="s">
        <v>149</v>
      </c>
      <c r="B7" t="s">
        <v>181</v>
      </c>
      <c r="C7">
        <v>3</v>
      </c>
      <c r="D7">
        <v>4</v>
      </c>
      <c r="E7" t="s">
        <v>39</v>
      </c>
      <c r="F7" t="s">
        <v>35</v>
      </c>
      <c r="G7" s="65">
        <v>21.894736842105299</v>
      </c>
      <c r="H7" s="65">
        <v>31.934782608695699</v>
      </c>
      <c r="I7" s="65">
        <v>-10.040045766590399</v>
      </c>
      <c r="J7" s="65">
        <v>4.4390366487316104</v>
      </c>
      <c r="K7" s="65">
        <v>-2.2617623058956262</v>
      </c>
      <c r="L7" s="66">
        <v>2.37120929014893E-2</v>
      </c>
      <c r="M7" s="66">
        <v>0.14227255740893599</v>
      </c>
      <c r="N7" t="s">
        <v>35</v>
      </c>
      <c r="O7" s="66">
        <v>0.23454771369358199</v>
      </c>
    </row>
    <row r="8" spans="1:15" x14ac:dyDescent="0.25">
      <c r="A8" t="s">
        <v>150</v>
      </c>
      <c r="B8" t="s">
        <v>181</v>
      </c>
      <c r="C8">
        <v>1</v>
      </c>
      <c r="D8">
        <v>2</v>
      </c>
      <c r="E8" t="s">
        <v>29</v>
      </c>
      <c r="F8" t="s">
        <v>71</v>
      </c>
      <c r="G8" s="65">
        <v>33.799999999999997</v>
      </c>
      <c r="H8" s="65">
        <v>32.363636363636402</v>
      </c>
      <c r="I8" s="65">
        <v>1.4363636363635948</v>
      </c>
      <c r="J8" s="65">
        <v>8.2487638627347</v>
      </c>
      <c r="K8" s="65">
        <v>0.17413077404877964</v>
      </c>
      <c r="L8" s="66">
        <v>0.86176268844846504</v>
      </c>
      <c r="M8" s="66">
        <v>1</v>
      </c>
      <c r="N8" t="s">
        <v>29</v>
      </c>
      <c r="O8" s="66">
        <v>0.99688616616616899</v>
      </c>
    </row>
    <row r="9" spans="1:15" x14ac:dyDescent="0.25">
      <c r="A9" t="s">
        <v>150</v>
      </c>
      <c r="B9" t="s">
        <v>181</v>
      </c>
      <c r="C9">
        <v>1</v>
      </c>
      <c r="D9">
        <v>3</v>
      </c>
      <c r="E9" t="s">
        <v>29</v>
      </c>
      <c r="F9" t="s">
        <v>39</v>
      </c>
      <c r="G9" s="65">
        <v>33.799999999999997</v>
      </c>
      <c r="H9" s="65">
        <v>20.7631578947368</v>
      </c>
      <c r="I9" s="65">
        <v>13.036842105263197</v>
      </c>
      <c r="J9" s="65">
        <v>7.6869497641067204</v>
      </c>
      <c r="K9" s="65">
        <v>1.6959707693339106</v>
      </c>
      <c r="L9" s="66">
        <v>8.9891415905368199E-2</v>
      </c>
      <c r="M9" s="66">
        <v>0.53934849543220897</v>
      </c>
      <c r="N9" t="s">
        <v>29</v>
      </c>
      <c r="O9" s="66">
        <v>0.99688616616616899</v>
      </c>
    </row>
    <row r="10" spans="1:15" x14ac:dyDescent="0.25">
      <c r="A10" t="s">
        <v>150</v>
      </c>
      <c r="B10" t="s">
        <v>181</v>
      </c>
      <c r="C10">
        <v>1</v>
      </c>
      <c r="D10">
        <v>4</v>
      </c>
      <c r="E10" t="s">
        <v>29</v>
      </c>
      <c r="F10" t="s">
        <v>35</v>
      </c>
      <c r="G10" s="65">
        <v>33.799999999999997</v>
      </c>
      <c r="H10" s="65">
        <v>34.413043478260903</v>
      </c>
      <c r="I10" s="65">
        <v>-0.61304347826090577</v>
      </c>
      <c r="J10" s="65">
        <v>7.5464086659059504</v>
      </c>
      <c r="K10" s="65">
        <v>-8.1236453709508924E-2</v>
      </c>
      <c r="L10" s="66">
        <v>0.93525390943863196</v>
      </c>
      <c r="M10" s="66">
        <v>1</v>
      </c>
      <c r="N10" t="s">
        <v>35</v>
      </c>
      <c r="O10" s="66">
        <v>0.99688616616616899</v>
      </c>
    </row>
    <row r="11" spans="1:15" x14ac:dyDescent="0.25">
      <c r="A11" t="s">
        <v>150</v>
      </c>
      <c r="B11" t="s">
        <v>181</v>
      </c>
      <c r="C11">
        <v>2</v>
      </c>
      <c r="D11">
        <v>3</v>
      </c>
      <c r="E11" t="s">
        <v>71</v>
      </c>
      <c r="F11" t="s">
        <v>39</v>
      </c>
      <c r="G11" s="65">
        <v>32.363636363636402</v>
      </c>
      <c r="H11" s="65">
        <v>20.7631578947368</v>
      </c>
      <c r="I11" s="65">
        <v>11.600478468899603</v>
      </c>
      <c r="J11" s="65">
        <v>5.7942563976938501</v>
      </c>
      <c r="K11" s="65">
        <v>2.0020650921689733</v>
      </c>
      <c r="L11" s="66">
        <v>4.5277731277115797E-2</v>
      </c>
      <c r="M11" s="66">
        <v>0.27166638766269502</v>
      </c>
      <c r="N11" t="s">
        <v>71</v>
      </c>
      <c r="O11" s="66">
        <v>0.99688616616616899</v>
      </c>
    </row>
    <row r="12" spans="1:15" x14ac:dyDescent="0.25">
      <c r="A12" t="s">
        <v>150</v>
      </c>
      <c r="B12" t="s">
        <v>181</v>
      </c>
      <c r="C12">
        <v>2</v>
      </c>
      <c r="D12">
        <v>4</v>
      </c>
      <c r="E12" t="s">
        <v>71</v>
      </c>
      <c r="F12" t="s">
        <v>35</v>
      </c>
      <c r="G12" s="65">
        <v>32.363636363636402</v>
      </c>
      <c r="H12" s="65">
        <v>34.413043478260903</v>
      </c>
      <c r="I12" s="65">
        <v>-2.0494071146245005</v>
      </c>
      <c r="J12" s="65">
        <v>5.6064689671107804</v>
      </c>
      <c r="K12" s="65">
        <v>-0.3655432905536326</v>
      </c>
      <c r="L12" s="66">
        <v>0.71470589799725004</v>
      </c>
      <c r="M12" s="66">
        <v>1</v>
      </c>
      <c r="N12" t="s">
        <v>35</v>
      </c>
      <c r="O12" s="66">
        <v>0.99688616616616899</v>
      </c>
    </row>
    <row r="13" spans="1:15" x14ac:dyDescent="0.25">
      <c r="A13" t="s">
        <v>150</v>
      </c>
      <c r="B13" t="s">
        <v>181</v>
      </c>
      <c r="C13">
        <v>3</v>
      </c>
      <c r="D13">
        <v>4</v>
      </c>
      <c r="E13" t="s">
        <v>39</v>
      </c>
      <c r="F13" t="s">
        <v>35</v>
      </c>
      <c r="G13" s="65">
        <v>20.7631578947368</v>
      </c>
      <c r="H13" s="65">
        <v>34.413043478260903</v>
      </c>
      <c r="I13" s="65">
        <v>-13.649885583524103</v>
      </c>
      <c r="J13" s="65">
        <v>4.7412641449215398</v>
      </c>
      <c r="K13" s="65">
        <v>-2.8789548876210072</v>
      </c>
      <c r="L13" s="66">
        <v>3.9899540420813397E-3</v>
      </c>
      <c r="M13" s="66">
        <v>2.3939724252487998E-2</v>
      </c>
      <c r="N13" t="s">
        <v>35</v>
      </c>
      <c r="O13" s="66">
        <v>0.99688616616616899</v>
      </c>
    </row>
    <row r="14" spans="1:15" x14ac:dyDescent="0.25">
      <c r="A14" t="s">
        <v>157</v>
      </c>
      <c r="B14" t="s">
        <v>180</v>
      </c>
      <c r="C14">
        <v>1</v>
      </c>
      <c r="D14">
        <v>2</v>
      </c>
      <c r="E14" t="s">
        <v>50</v>
      </c>
      <c r="F14" t="s">
        <v>167</v>
      </c>
      <c r="G14" s="65">
        <v>37.5</v>
      </c>
      <c r="H14" s="65">
        <v>23</v>
      </c>
      <c r="I14" s="65">
        <v>14.5</v>
      </c>
      <c r="J14" s="65">
        <v>5.9107570633590596</v>
      </c>
      <c r="K14" s="65">
        <v>2.4531544512099619</v>
      </c>
      <c r="L14" s="66">
        <v>1.41609521127656E-2</v>
      </c>
      <c r="M14" s="66">
        <v>8.4965712676593905E-2</v>
      </c>
      <c r="N14" t="s">
        <v>50</v>
      </c>
      <c r="O14" s="66">
        <v>1</v>
      </c>
    </row>
    <row r="15" spans="1:15" x14ac:dyDescent="0.25">
      <c r="A15" t="s">
        <v>157</v>
      </c>
      <c r="B15" t="s">
        <v>180</v>
      </c>
      <c r="C15">
        <v>1</v>
      </c>
      <c r="D15">
        <v>3</v>
      </c>
      <c r="E15" t="s">
        <v>50</v>
      </c>
      <c r="F15" t="s">
        <v>46</v>
      </c>
      <c r="G15" s="65">
        <v>37.5</v>
      </c>
      <c r="H15" s="65">
        <v>26.842105263157901</v>
      </c>
      <c r="I15" s="65">
        <v>10.657894736842099</v>
      </c>
      <c r="J15" s="65">
        <v>5.8514593233876599</v>
      </c>
      <c r="K15" s="65">
        <v>1.8214079852257758</v>
      </c>
      <c r="L15" s="66">
        <v>6.85448622447596E-2</v>
      </c>
      <c r="M15" s="66">
        <v>0.41126917346855801</v>
      </c>
      <c r="N15" t="s">
        <v>50</v>
      </c>
      <c r="O15" s="66">
        <v>1</v>
      </c>
    </row>
    <row r="16" spans="1:15" x14ac:dyDescent="0.25">
      <c r="A16" t="s">
        <v>157</v>
      </c>
      <c r="B16" t="s">
        <v>180</v>
      </c>
      <c r="C16">
        <v>1</v>
      </c>
      <c r="D16">
        <v>4</v>
      </c>
      <c r="E16" t="s">
        <v>50</v>
      </c>
      <c r="F16" t="s">
        <v>168</v>
      </c>
      <c r="G16" s="65">
        <v>37.5</v>
      </c>
      <c r="H16" s="65">
        <v>35.1666666666667</v>
      </c>
      <c r="I16" s="65">
        <v>2.3333333333333002</v>
      </c>
      <c r="J16" s="65">
        <v>6.9418321204875904</v>
      </c>
      <c r="K16" s="65">
        <v>0.33612644224669153</v>
      </c>
      <c r="L16" s="66">
        <v>0.73677551926389395</v>
      </c>
      <c r="M16" s="66">
        <v>1</v>
      </c>
      <c r="N16" t="s">
        <v>50</v>
      </c>
      <c r="O16" s="66">
        <v>1</v>
      </c>
    </row>
    <row r="17" spans="1:15" x14ac:dyDescent="0.25">
      <c r="A17" t="s">
        <v>157</v>
      </c>
      <c r="B17" t="s">
        <v>180</v>
      </c>
      <c r="C17">
        <v>2</v>
      </c>
      <c r="D17">
        <v>3</v>
      </c>
      <c r="E17" t="s">
        <v>167</v>
      </c>
      <c r="F17" t="s">
        <v>46</v>
      </c>
      <c r="G17" s="65">
        <v>23</v>
      </c>
      <c r="H17" s="65">
        <v>26.842105263157901</v>
      </c>
      <c r="I17" s="65">
        <v>-3.8421052631579009</v>
      </c>
      <c r="J17" s="65">
        <v>5.0800093902649097</v>
      </c>
      <c r="K17" s="65">
        <v>-0.75631853565482188</v>
      </c>
      <c r="L17" s="66">
        <v>0.449458237488641</v>
      </c>
      <c r="M17" s="66">
        <v>1</v>
      </c>
      <c r="N17" t="s">
        <v>46</v>
      </c>
      <c r="O17" s="66">
        <v>1</v>
      </c>
    </row>
    <row r="18" spans="1:15" x14ac:dyDescent="0.25">
      <c r="A18" t="s">
        <v>157</v>
      </c>
      <c r="B18" t="s">
        <v>180</v>
      </c>
      <c r="C18">
        <v>2</v>
      </c>
      <c r="D18">
        <v>4</v>
      </c>
      <c r="E18" t="s">
        <v>167</v>
      </c>
      <c r="F18" t="s">
        <v>168</v>
      </c>
      <c r="G18" s="65">
        <v>23</v>
      </c>
      <c r="H18" s="65">
        <v>35.1666666666667</v>
      </c>
      <c r="I18" s="65">
        <v>-12.1666666666667</v>
      </c>
      <c r="J18" s="65">
        <v>6.30523214330388</v>
      </c>
      <c r="K18" s="65">
        <v>-1.9296143885182133</v>
      </c>
      <c r="L18" s="66">
        <v>5.3654634669195102E-2</v>
      </c>
      <c r="M18" s="66">
        <v>0.32192780801517101</v>
      </c>
      <c r="N18" t="s">
        <v>168</v>
      </c>
      <c r="O18" s="66">
        <v>1</v>
      </c>
    </row>
    <row r="19" spans="1:15" x14ac:dyDescent="0.25">
      <c r="A19" t="s">
        <v>157</v>
      </c>
      <c r="B19" t="s">
        <v>180</v>
      </c>
      <c r="C19">
        <v>3</v>
      </c>
      <c r="D19">
        <v>4</v>
      </c>
      <c r="E19" t="s">
        <v>46</v>
      </c>
      <c r="F19" t="s">
        <v>168</v>
      </c>
      <c r="G19" s="65">
        <v>26.842105263157901</v>
      </c>
      <c r="H19" s="65">
        <v>35.1666666666667</v>
      </c>
      <c r="I19" s="65">
        <v>-8.3245614035087989</v>
      </c>
      <c r="J19" s="65">
        <v>6.2496783542966199</v>
      </c>
      <c r="K19" s="65">
        <v>-1.3319983736100127</v>
      </c>
      <c r="L19" s="66">
        <v>0.182860722954274</v>
      </c>
      <c r="M19" s="66">
        <v>1</v>
      </c>
      <c r="N19" t="s">
        <v>168</v>
      </c>
      <c r="O19" s="66">
        <v>1</v>
      </c>
    </row>
    <row r="20" spans="1:15" x14ac:dyDescent="0.25">
      <c r="A20" t="s">
        <v>157</v>
      </c>
      <c r="B20" t="s">
        <v>179</v>
      </c>
      <c r="C20">
        <v>1</v>
      </c>
      <c r="D20">
        <v>2</v>
      </c>
      <c r="E20" t="s">
        <v>46</v>
      </c>
      <c r="F20" t="s">
        <v>32</v>
      </c>
      <c r="G20" s="65">
        <v>20.84</v>
      </c>
      <c r="H20" s="65">
        <v>33.25</v>
      </c>
      <c r="I20" s="65">
        <v>-12.41</v>
      </c>
      <c r="J20" s="65">
        <v>4.6333804382668902</v>
      </c>
      <c r="K20" s="65">
        <v>-2.6783900362479072</v>
      </c>
      <c r="L20" s="66">
        <v>7.39770184209179E-3</v>
      </c>
      <c r="M20" s="66">
        <v>2.2193105526275399E-2</v>
      </c>
      <c r="N20" t="s">
        <v>32</v>
      </c>
      <c r="O20" s="66">
        <v>5.3081746905016901E-2</v>
      </c>
    </row>
    <row r="21" spans="1:15" x14ac:dyDescent="0.25">
      <c r="A21" t="s">
        <v>157</v>
      </c>
      <c r="B21" t="s">
        <v>179</v>
      </c>
      <c r="C21">
        <v>1</v>
      </c>
      <c r="D21">
        <v>3</v>
      </c>
      <c r="E21" t="s">
        <v>46</v>
      </c>
      <c r="F21" t="s">
        <v>42</v>
      </c>
      <c r="G21" s="65">
        <v>20.84</v>
      </c>
      <c r="H21" s="65">
        <v>38.9166666666667</v>
      </c>
      <c r="I21" s="65">
        <v>-18.0766666666667</v>
      </c>
      <c r="J21" s="65">
        <v>5.4239657780912296</v>
      </c>
      <c r="K21" s="65">
        <v>-3.3327398081460857</v>
      </c>
      <c r="L21" s="66">
        <v>8.5995324134751196E-4</v>
      </c>
      <c r="M21" s="66">
        <v>2.5798597240425398E-3</v>
      </c>
      <c r="N21" t="s">
        <v>42</v>
      </c>
      <c r="O21" s="66">
        <v>5.3081746905016901E-2</v>
      </c>
    </row>
    <row r="22" spans="1:15" x14ac:dyDescent="0.25">
      <c r="A22" t="s">
        <v>157</v>
      </c>
      <c r="B22" t="s">
        <v>179</v>
      </c>
      <c r="C22">
        <v>2</v>
      </c>
      <c r="D22">
        <v>3</v>
      </c>
      <c r="E22" t="s">
        <v>32</v>
      </c>
      <c r="F22" t="s">
        <v>42</v>
      </c>
      <c r="G22" s="65">
        <v>33.25</v>
      </c>
      <c r="H22" s="65">
        <v>38.9166666666667</v>
      </c>
      <c r="I22" s="65">
        <v>-5.6666666666666998</v>
      </c>
      <c r="J22" s="65">
        <v>5.6395710745376597</v>
      </c>
      <c r="K22" s="65">
        <v>-1.0048045483904575</v>
      </c>
      <c r="L22" s="66">
        <v>0.31499097330743703</v>
      </c>
      <c r="M22" s="66">
        <v>0.94497291992231203</v>
      </c>
      <c r="N22" t="s">
        <v>42</v>
      </c>
      <c r="O22" s="66">
        <v>5.3081746905016901E-2</v>
      </c>
    </row>
    <row r="23" spans="1:15" x14ac:dyDescent="0.25">
      <c r="A23" t="s">
        <v>158</v>
      </c>
      <c r="B23" t="s">
        <v>181</v>
      </c>
      <c r="C23">
        <v>1</v>
      </c>
      <c r="D23">
        <v>2</v>
      </c>
      <c r="E23" t="s">
        <v>29</v>
      </c>
      <c r="F23" t="s">
        <v>71</v>
      </c>
      <c r="G23" s="65">
        <v>16.899999999999999</v>
      </c>
      <c r="H23" s="65">
        <v>22.409090909090899</v>
      </c>
      <c r="I23" s="65">
        <v>-5.5090909090909008</v>
      </c>
      <c r="J23" s="65">
        <v>7.8028334934378698</v>
      </c>
      <c r="K23" s="65">
        <v>-0.70603722528796864</v>
      </c>
      <c r="L23" s="66">
        <v>0.48016498812196701</v>
      </c>
      <c r="M23" s="66">
        <v>1</v>
      </c>
      <c r="N23" t="s">
        <v>71</v>
      </c>
      <c r="O23" s="66">
        <v>1</v>
      </c>
    </row>
    <row r="24" spans="1:15" x14ac:dyDescent="0.25">
      <c r="A24" t="s">
        <v>158</v>
      </c>
      <c r="B24" t="s">
        <v>181</v>
      </c>
      <c r="C24">
        <v>1</v>
      </c>
      <c r="D24">
        <v>3</v>
      </c>
      <c r="E24" t="s">
        <v>29</v>
      </c>
      <c r="F24" t="s">
        <v>39</v>
      </c>
      <c r="G24" s="65">
        <v>16.899999999999999</v>
      </c>
      <c r="H24" s="65">
        <v>33.131578947368403</v>
      </c>
      <c r="I24" s="65">
        <v>-16.231578947368405</v>
      </c>
      <c r="J24" s="65">
        <v>7.2713912144723603</v>
      </c>
      <c r="K24" s="65">
        <v>-2.2322521878705204</v>
      </c>
      <c r="L24" s="66">
        <v>2.5598299952229599E-2</v>
      </c>
      <c r="M24" s="66">
        <v>0.15358979971337799</v>
      </c>
      <c r="N24" t="s">
        <v>39</v>
      </c>
      <c r="O24" s="66">
        <v>1</v>
      </c>
    </row>
    <row r="25" spans="1:15" x14ac:dyDescent="0.25">
      <c r="A25" t="s">
        <v>158</v>
      </c>
      <c r="B25" t="s">
        <v>181</v>
      </c>
      <c r="C25">
        <v>1</v>
      </c>
      <c r="D25">
        <v>4</v>
      </c>
      <c r="E25" t="s">
        <v>29</v>
      </c>
      <c r="F25" t="s">
        <v>35</v>
      </c>
      <c r="G25" s="65">
        <v>16.899999999999999</v>
      </c>
      <c r="H25" s="65">
        <v>32.630434782608702</v>
      </c>
      <c r="I25" s="65">
        <v>-15.730434782608704</v>
      </c>
      <c r="J25" s="65">
        <v>7.1384478054362903</v>
      </c>
      <c r="K25" s="65">
        <v>-2.2036211808720068</v>
      </c>
      <c r="L25" s="66">
        <v>2.7550996427304401E-2</v>
      </c>
      <c r="M25" s="66">
        <v>0.16530597856382601</v>
      </c>
      <c r="N25" t="s">
        <v>35</v>
      </c>
      <c r="O25" s="66">
        <v>1</v>
      </c>
    </row>
    <row r="26" spans="1:15" x14ac:dyDescent="0.25">
      <c r="A26" t="s">
        <v>158</v>
      </c>
      <c r="B26" t="s">
        <v>181</v>
      </c>
      <c r="C26">
        <v>2</v>
      </c>
      <c r="D26">
        <v>3</v>
      </c>
      <c r="E26" t="s">
        <v>71</v>
      </c>
      <c r="F26" t="s">
        <v>39</v>
      </c>
      <c r="G26" s="65">
        <v>22.409090909090899</v>
      </c>
      <c r="H26" s="65">
        <v>33.131578947368403</v>
      </c>
      <c r="I26" s="65">
        <v>-10.722488038277504</v>
      </c>
      <c r="J26" s="65">
        <v>5.4810173550662498</v>
      </c>
      <c r="K26" s="65">
        <v>-1.9562952174136841</v>
      </c>
      <c r="L26" s="66">
        <v>5.0430387265802602E-2</v>
      </c>
      <c r="M26" s="66">
        <v>0.30258232359481602</v>
      </c>
      <c r="N26" t="s">
        <v>39</v>
      </c>
      <c r="O26" s="66">
        <v>1</v>
      </c>
    </row>
    <row r="27" spans="1:15" x14ac:dyDescent="0.25">
      <c r="A27" t="s">
        <v>158</v>
      </c>
      <c r="B27" t="s">
        <v>181</v>
      </c>
      <c r="C27">
        <v>2</v>
      </c>
      <c r="D27">
        <v>4</v>
      </c>
      <c r="E27" t="s">
        <v>71</v>
      </c>
      <c r="F27" t="s">
        <v>35</v>
      </c>
      <c r="G27" s="65">
        <v>22.409090909090899</v>
      </c>
      <c r="H27" s="65">
        <v>32.630434782608702</v>
      </c>
      <c r="I27" s="65">
        <v>-10.221343873517803</v>
      </c>
      <c r="J27" s="65">
        <v>5.30338176294803</v>
      </c>
      <c r="K27" s="65">
        <v>-1.9273256820636628</v>
      </c>
      <c r="L27" s="66">
        <v>5.3939054940329002E-2</v>
      </c>
      <c r="M27" s="66">
        <v>0.32363432964197397</v>
      </c>
      <c r="N27" t="s">
        <v>35</v>
      </c>
      <c r="O27" s="66">
        <v>1</v>
      </c>
    </row>
    <row r="28" spans="1:15" x14ac:dyDescent="0.25">
      <c r="A28" t="s">
        <v>158</v>
      </c>
      <c r="B28" t="s">
        <v>181</v>
      </c>
      <c r="C28">
        <v>3</v>
      </c>
      <c r="D28">
        <v>4</v>
      </c>
      <c r="E28" t="s">
        <v>39</v>
      </c>
      <c r="F28" t="s">
        <v>35</v>
      </c>
      <c r="G28" s="65">
        <v>33.131578947368403</v>
      </c>
      <c r="H28" s="65">
        <v>32.630434782608702</v>
      </c>
      <c r="I28" s="65">
        <v>0.50114416475970103</v>
      </c>
      <c r="J28" s="65">
        <v>4.4849501436649</v>
      </c>
      <c r="K28" s="65">
        <v>0.11173907149616351</v>
      </c>
      <c r="L28" s="66">
        <v>0.91103029873039798</v>
      </c>
      <c r="M28" s="66">
        <v>1</v>
      </c>
      <c r="N28" t="s">
        <v>39</v>
      </c>
      <c r="O28" s="66">
        <v>1</v>
      </c>
    </row>
    <row r="30" spans="1:15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</row>
    <row r="31" spans="1:15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</row>
    <row r="32" spans="1:15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Readme</vt:lpstr>
      <vt:lpstr>Participants responses</vt:lpstr>
      <vt:lpstr>Risk profile</vt:lpstr>
      <vt:lpstr>Roles</vt:lpstr>
      <vt:lpstr>Familiarity</vt:lpstr>
      <vt:lpstr>Age Spearman detailed</vt:lpstr>
      <vt:lpstr>Pairwise Bonferroni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Sadovski</dc:creator>
  <cp:lastModifiedBy>Eran Sadovski</cp:lastModifiedBy>
  <dcterms:created xsi:type="dcterms:W3CDTF">2026-10-26T16:32:24Z</dcterms:created>
  <dcterms:modified xsi:type="dcterms:W3CDTF">2026-10-27T14:16:15Z</dcterms:modified>
</cp:coreProperties>
</file>