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Eran Sadovski\Dropbox\Doctorat2\Article 3 - Human oversight\Supplementary\"/>
    </mc:Choice>
  </mc:AlternateContent>
  <xr:revisionPtr revIDLastSave="0" documentId="13_ncr:1_{5398407B-7877-4154-99F2-7418A1355504}" xr6:coauthVersionLast="47" xr6:coauthVersionMax="47" xr10:uidLastSave="{00000000-0000-0000-0000-000000000000}"/>
  <bookViews>
    <workbookView xWindow="38280" yWindow="-120" windowWidth="38640" windowHeight="15720" activeTab="1" xr2:uid="{00000000-000D-0000-FFFF-FFFF00000000}"/>
  </bookViews>
  <sheets>
    <sheet name="Readme" sheetId="3" r:id="rId1"/>
    <sheet name="quotation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2" l="1"/>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K4" i="2" a="1"/>
  <c r="K3" i="2"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<sst xmlns="http://schemas.openxmlformats.org/spreadsheetml/2006/main" count="950" uniqueCount="511">
  <si>
    <t>Supplementary Information (Online Resource 5)</t>
  </si>
  <si>
    <r>
      <t xml:space="preserve">Journal: </t>
    </r>
    <r>
      <rPr>
        <sz val="11"/>
        <color theme="1"/>
        <rFont val="Times New Roman"/>
        <family val="1"/>
      </rPr>
      <t>Empirical Software Engineering</t>
    </r>
  </si>
  <si>
    <r>
      <t xml:space="preserve">Authors: </t>
    </r>
    <r>
      <rPr>
        <sz val="11"/>
        <color theme="1"/>
        <rFont val="Times New Roman"/>
        <family val="1"/>
      </rPr>
      <t>Eran Sadovski (a), Itzhak Aviv (b), Irit Hadar (a)</t>
    </r>
  </si>
  <si>
    <t xml:space="preserve">Affiliations: </t>
  </si>
  <si>
    <r>
      <t>(a) University of Haifa, City Campus, 3303220, Haifa, Israel</t>
    </r>
    <r>
      <rPr>
        <b/>
        <sz val="11"/>
        <color theme="1"/>
        <rFont val="Times New Roman"/>
        <family val="1"/>
      </rPr>
      <t xml:space="preserve"> </t>
    </r>
  </si>
  <si>
    <t>(b) The Academic College of Tel Aviv Yaffo (MTA), 6818211, Yaffo, Israel</t>
  </si>
  <si>
    <r>
      <t xml:space="preserve">Corresponding author: </t>
    </r>
    <r>
      <rPr>
        <sz val="11"/>
        <color theme="1"/>
        <rFont val="Times New Roman"/>
        <family val="1"/>
      </rPr>
      <t>Eran Sadovski, sdv.eran@gmail.com</t>
    </r>
  </si>
  <si>
    <t>Quotation ID</t>
  </si>
  <si>
    <t>Source interview ID</t>
  </si>
  <si>
    <t>Excerpt text</t>
  </si>
  <si>
    <t>Notes</t>
  </si>
  <si>
    <t>Open codes</t>
  </si>
  <si>
    <t>Intial Code</t>
  </si>
  <si>
    <t>Codes after peer debriefing</t>
  </si>
  <si>
    <t>QR-0002</t>
  </si>
  <si>
    <t>P01</t>
  </si>
  <si>
    <r>
      <t xml:space="preserve">Explainability refers to the ability of a system or model to </t>
    </r>
    <r>
      <rPr>
        <sz val="11"/>
        <color rgb="FFFF0000"/>
        <rFont val="Arial"/>
        <family val="2"/>
        <scheme val="minor"/>
      </rPr>
      <t>provide explanation</t>
    </r>
    <r>
      <rPr>
        <sz val="11"/>
        <color theme="1"/>
        <rFont val="Arial"/>
        <family val="2"/>
        <scheme val="minor"/>
      </rPr>
      <t>s for the decisions it makes.</t>
    </r>
  </si>
  <si>
    <t>provide explanations</t>
  </si>
  <si>
    <t>provide explanations, Explanation</t>
  </si>
  <si>
    <t>Explainability necessity</t>
  </si>
  <si>
    <t>QR-0003</t>
  </si>
  <si>
    <r>
      <t>The</t>
    </r>
    <r>
      <rPr>
        <sz val="11"/>
        <color rgb="FFFF0000"/>
        <rFont val="Arial"/>
        <family val="2"/>
        <scheme val="minor"/>
      </rPr>
      <t xml:space="preserve"> level of explanation</t>
    </r>
    <r>
      <rPr>
        <sz val="11"/>
        <color theme="1"/>
        <rFont val="Arial"/>
        <family val="2"/>
        <scheme val="minor"/>
      </rPr>
      <t xml:space="preserve"> should be tailored to the appropriate stakeholder, whether they are users or developers.</t>
    </r>
  </si>
  <si>
    <t>level of explanation</t>
  </si>
  <si>
    <t>level of explanation, Explanation</t>
  </si>
  <si>
    <t>QR-0006</t>
  </si>
  <si>
    <r>
      <rPr>
        <sz val="11"/>
        <color rgb="FFFF0000"/>
        <rFont val="Arial"/>
        <family val="2"/>
        <scheme val="minor"/>
      </rPr>
      <t>Feature engineering</t>
    </r>
    <r>
      <rPr>
        <sz val="11"/>
        <color theme="1"/>
        <rFont val="Arial"/>
        <family val="2"/>
        <scheme val="minor"/>
      </rPr>
      <t xml:space="preserve"> represents the most basic form of explainability. Gaining insight into the appropriate features utilized by the model to make its decisions is crucial.</t>
    </r>
  </si>
  <si>
    <t>Feature engineering</t>
  </si>
  <si>
    <t>Explainability methods, Feature engineering</t>
  </si>
  <si>
    <t>QR-0008</t>
  </si>
  <si>
    <r>
      <t xml:space="preserve">We need </t>
    </r>
    <r>
      <rPr>
        <sz val="11"/>
        <color rgb="FFFF0000"/>
        <rFont val="Arial"/>
        <family val="2"/>
        <scheme val="minor"/>
      </rPr>
      <t>three tiers for explainability</t>
    </r>
    <r>
      <rPr>
        <sz val="11"/>
        <color theme="1"/>
        <rFont val="Arial"/>
        <family val="2"/>
        <scheme val="minor"/>
      </rPr>
      <t xml:space="preserve"> – the stakeholder, its demands and the tools</t>
    </r>
  </si>
  <si>
    <t>three tiers for explainability</t>
  </si>
  <si>
    <t>level of explanation, three tiers for explainability</t>
  </si>
  <si>
    <t>QR-0012</t>
  </si>
  <si>
    <r>
      <t xml:space="preserve">Providing the </t>
    </r>
    <r>
      <rPr>
        <sz val="11"/>
        <color rgb="FFFF0000"/>
        <rFont val="Arial"/>
        <family val="2"/>
        <scheme val="minor"/>
      </rPr>
      <t>output of the model</t>
    </r>
    <r>
      <rPr>
        <sz val="11"/>
        <color theme="1"/>
        <rFont val="Arial"/>
        <family val="2"/>
        <scheme val="minor"/>
      </rPr>
      <t xml:space="preserve"> to the end user is unnecessary because they are unable to comprehend it.</t>
    </r>
  </si>
  <si>
    <t>output of the model</t>
  </si>
  <si>
    <t>Explainability methods</t>
  </si>
  <si>
    <t>Final coding-row assignments</t>
  </si>
  <si>
    <t># codes</t>
  </si>
  <si>
    <t>QR-0022</t>
  </si>
  <si>
    <t>P02</t>
  </si>
  <si>
    <t>involvement of the human in the loop</t>
  </si>
  <si>
    <t>different level of involvement and oversight, Human oversight modes</t>
  </si>
  <si>
    <t>Human oversight modes</t>
  </si>
  <si>
    <t>Oversight spectrum</t>
  </si>
  <si>
    <r>
      <rPr>
        <sz val="11"/>
        <color rgb="FFFF0000"/>
        <rFont val="Arial"/>
        <family val="2"/>
        <scheme val="minor"/>
      </rPr>
      <t>Ethical requirements</t>
    </r>
    <r>
      <rPr>
        <sz val="11"/>
        <color theme="1"/>
        <rFont val="Arial"/>
        <family val="2"/>
        <scheme val="minor"/>
      </rPr>
      <t xml:space="preserve"> lead to definitions of the involvement of the human in the loop</t>
    </r>
  </si>
  <si>
    <t>Ethical requirements</t>
  </si>
  <si>
    <t>Ethical constraints</t>
  </si>
  <si>
    <t>Human oversight in safety critical systems</t>
  </si>
  <si>
    <t>QR-0031</t>
  </si>
  <si>
    <r>
      <t xml:space="preserve">In order to attain explainability, it is imperative to </t>
    </r>
    <r>
      <rPr>
        <sz val="11"/>
        <color rgb="FFFF0000"/>
        <rFont val="Arial"/>
        <family val="2"/>
        <scheme val="minor"/>
      </rPr>
      <t>incorporate "peeling" techniques</t>
    </r>
    <r>
      <rPr>
        <sz val="11"/>
        <color theme="1"/>
        <rFont val="Arial"/>
        <family val="2"/>
        <scheme val="minor"/>
      </rPr>
      <t xml:space="preserve"> into the system.</t>
    </r>
  </si>
  <si>
    <t>incorporate "peeling" techniques</t>
  </si>
  <si>
    <t>QR-0032</t>
  </si>
  <si>
    <r>
      <t xml:space="preserve">Organizations frequently involve users in the process of </t>
    </r>
    <r>
      <rPr>
        <sz val="11"/>
        <color rgb="FFFF0000"/>
        <rFont val="Arial"/>
        <family val="2"/>
        <scheme val="minor"/>
      </rPr>
      <t>making critical decisions</t>
    </r>
    <r>
      <rPr>
        <sz val="11"/>
        <color theme="1"/>
        <rFont val="Arial"/>
        <family val="2"/>
        <scheme val="minor"/>
      </rPr>
      <t xml:space="preserve"> in order to ensure accountability.</t>
    </r>
  </si>
  <si>
    <t>making critical decisions</t>
  </si>
  <si>
    <t>safety-critical systems, making critical decisions</t>
  </si>
  <si>
    <t>Trust enablers</t>
  </si>
  <si>
    <t>Trust and control</t>
  </si>
  <si>
    <t>QR-0046</t>
  </si>
  <si>
    <t>P03</t>
  </si>
  <si>
    <r>
      <t xml:space="preserve">As for today, AI doesn’t take decisions it just give recommendations. This is due to </t>
    </r>
    <r>
      <rPr>
        <sz val="11"/>
        <color rgb="FFFF0000"/>
        <rFont val="Arial"/>
        <family val="2"/>
        <scheme val="minor"/>
      </rPr>
      <t>trust challenges by the user</t>
    </r>
    <r>
      <rPr>
        <sz val="11"/>
        <color theme="1"/>
        <rFont val="Arial"/>
        <family val="2"/>
        <scheme val="minor"/>
      </rPr>
      <t>. But it supposed to change over time.</t>
    </r>
  </si>
  <si>
    <t>trust challenges by the user</t>
  </si>
  <si>
    <t>Trust challenges, trust challenges by the user</t>
  </si>
  <si>
    <t>Feedback and monitoring</t>
  </si>
  <si>
    <t>QR-0054</t>
  </si>
  <si>
    <r>
      <t xml:space="preserve">The user needs to have a </t>
    </r>
    <r>
      <rPr>
        <sz val="11"/>
        <color rgb="FFFF0000"/>
        <rFont val="Arial"/>
        <family val="2"/>
        <scheme val="minor"/>
      </rPr>
      <t>feeling that he can control</t>
    </r>
    <r>
      <rPr>
        <sz val="11"/>
        <color theme="1"/>
        <rFont val="Arial"/>
        <family val="2"/>
        <scheme val="minor"/>
      </rPr>
      <t xml:space="preserve"> the system, both the UI and the logics.</t>
    </r>
  </si>
  <si>
    <t>feeling that he can control the system</t>
  </si>
  <si>
    <t>Control over the system, Perceived control, feeling that he can control the system</t>
  </si>
  <si>
    <t>Human oversight modes, Feedbacks and monitroing, Trust and control</t>
  </si>
  <si>
    <t>QR-0055</t>
  </si>
  <si>
    <r>
      <t xml:space="preserve">Sometimes you need to create </t>
    </r>
    <r>
      <rPr>
        <sz val="11"/>
        <color rgb="FFFF0000"/>
        <rFont val="Arial"/>
        <family val="2"/>
        <scheme val="minor"/>
      </rPr>
      <t>virtual decision</t>
    </r>
    <r>
      <rPr>
        <sz val="11"/>
        <color theme="1"/>
        <rFont val="Arial"/>
        <family val="2"/>
        <scheme val="minor"/>
      </rPr>
      <t xml:space="preserve"> points just to let the user feel that he is in control.</t>
    </r>
  </si>
  <si>
    <t>virtual decision points</t>
  </si>
  <si>
    <t>Control over the system, feeling that he can control the system</t>
  </si>
  <si>
    <t>QR-0064</t>
  </si>
  <si>
    <t>P04</t>
  </si>
  <si>
    <r>
      <rPr>
        <sz val="11"/>
        <color rgb="FFFF0000"/>
        <rFont val="Arial"/>
        <family val="2"/>
        <scheme val="minor"/>
      </rPr>
      <t>Feature selection</t>
    </r>
    <r>
      <rPr>
        <sz val="11"/>
        <color theme="1"/>
        <rFont val="Arial"/>
        <family val="2"/>
        <scheme val="minor"/>
      </rPr>
      <t xml:space="preserve"> is very important to make the system explainable</t>
    </r>
  </si>
  <si>
    <t>Feature selection</t>
  </si>
  <si>
    <t>QR-0066</t>
  </si>
  <si>
    <r>
      <rPr>
        <sz val="11"/>
        <color rgb="FFFF0000"/>
        <rFont val="Arial"/>
        <family val="2"/>
        <scheme val="minor"/>
      </rPr>
      <t>Explainability is not always needed</t>
    </r>
    <r>
      <rPr>
        <sz val="11"/>
        <color theme="1"/>
        <rFont val="Arial"/>
        <family val="2"/>
        <scheme val="minor"/>
      </rPr>
      <t>, it depends on the context and the usage of the system</t>
    </r>
  </si>
  <si>
    <t>Explainability is not always needed</t>
  </si>
  <si>
    <t>QR-0100</t>
  </si>
  <si>
    <t>P06</t>
  </si>
  <si>
    <r>
      <t xml:space="preserve">Assimilation process in AI is from the beginning, it can also reveal the </t>
    </r>
    <r>
      <rPr>
        <sz val="11"/>
        <color rgb="FFFF0000"/>
        <rFont val="Arial"/>
        <family val="2"/>
        <scheme val="minor"/>
      </rPr>
      <t>explainability expectations of the client</t>
    </r>
    <r>
      <rPr>
        <sz val="11"/>
        <color theme="1"/>
        <rFont val="Arial"/>
        <family val="2"/>
        <scheme val="minor"/>
      </rPr>
      <t>.</t>
    </r>
  </si>
  <si>
    <t>explainability expectations of the client</t>
  </si>
  <si>
    <t>Explanation</t>
  </si>
  <si>
    <t>QR-0101</t>
  </si>
  <si>
    <r>
      <t xml:space="preserve">There are </t>
    </r>
    <r>
      <rPr>
        <sz val="11"/>
        <color rgb="FFFF0000"/>
        <rFont val="Arial"/>
        <family val="2"/>
        <scheme val="minor"/>
      </rPr>
      <t>3 types of human involvement in the system</t>
    </r>
    <r>
      <rPr>
        <sz val="11"/>
        <color theme="1"/>
        <rFont val="Arial"/>
        <family val="2"/>
        <scheme val="minor"/>
      </rPr>
      <t xml:space="preserve">: 1) man in the loop; 2) man on the loop; and 3) man out of the loop. </t>
    </r>
  </si>
  <si>
    <t>3 types of human involvement in the system</t>
  </si>
  <si>
    <t>QR-0102</t>
  </si>
  <si>
    <t>shift from man in the loop to man on the loop</t>
  </si>
  <si>
    <t>Human oversight modes,Explainability necessity</t>
  </si>
  <si>
    <r>
      <t xml:space="preserve">The shift from man in the loop to man on the loop requires to </t>
    </r>
    <r>
      <rPr>
        <sz val="11"/>
        <color rgb="FFFF0000"/>
        <rFont val="Arial"/>
        <family val="2"/>
        <scheme val="minor"/>
      </rPr>
      <t>strengthen the explainability</t>
    </r>
    <r>
      <rPr>
        <sz val="11"/>
        <color theme="1"/>
        <rFont val="Arial"/>
        <family val="2"/>
        <scheme val="minor"/>
      </rPr>
      <t>. Moving from man on the loop to man out of the loop releases the need for explainability.</t>
    </r>
  </si>
  <si>
    <t>strengthen the explainability</t>
  </si>
  <si>
    <r>
      <t>The shift from man in the loop to man on the loop requires to strengthen the explainability. Moving from man on the loop to man out of the loop releases the</t>
    </r>
    <r>
      <rPr>
        <sz val="11"/>
        <color rgb="FFFF0000"/>
        <rFont val="Arial"/>
        <family val="2"/>
        <scheme val="minor"/>
      </rPr>
      <t xml:space="preserve"> need for explainability</t>
    </r>
    <r>
      <rPr>
        <sz val="11"/>
        <color theme="1"/>
        <rFont val="Arial"/>
        <family val="2"/>
        <scheme val="minor"/>
      </rPr>
      <t>.</t>
    </r>
  </si>
  <si>
    <t>need for explainability</t>
  </si>
  <si>
    <t>QR-0103</t>
  </si>
  <si>
    <r>
      <t>Even in Blackbox systems you must bring a</t>
    </r>
    <r>
      <rPr>
        <sz val="11"/>
        <color rgb="FFFF0000"/>
        <rFont val="Arial"/>
        <family val="2"/>
        <scheme val="minor"/>
      </rPr>
      <t xml:space="preserve"> level of explainability</t>
    </r>
    <r>
      <rPr>
        <sz val="11"/>
        <color theme="1"/>
        <rFont val="Arial"/>
        <family val="2"/>
        <scheme val="minor"/>
      </rPr>
      <t xml:space="preserve"> to gain user trust.</t>
    </r>
  </si>
  <si>
    <t>level of explainability</t>
  </si>
  <si>
    <r>
      <t xml:space="preserve">Even in Blackbox systems you must bring a level of explainability to gain </t>
    </r>
    <r>
      <rPr>
        <sz val="11"/>
        <color rgb="FFFF0000"/>
        <rFont val="Arial"/>
        <family val="2"/>
        <scheme val="minor"/>
      </rPr>
      <t>user trust</t>
    </r>
    <r>
      <rPr>
        <sz val="11"/>
        <color theme="1"/>
        <rFont val="Arial"/>
        <family val="2"/>
        <scheme val="minor"/>
      </rPr>
      <t>.</t>
    </r>
  </si>
  <si>
    <t>user trust</t>
  </si>
  <si>
    <t>trust</t>
  </si>
  <si>
    <t>QR-0118</t>
  </si>
  <si>
    <t>P07</t>
  </si>
  <si>
    <r>
      <t xml:space="preserve">For explainability you always need to </t>
    </r>
    <r>
      <rPr>
        <sz val="11"/>
        <color rgb="FFFF0000"/>
        <rFont val="Arial"/>
        <family val="2"/>
        <scheme val="minor"/>
      </rPr>
      <t>give a lead</t>
    </r>
    <r>
      <rPr>
        <sz val="11"/>
        <color theme="1"/>
        <rFont val="Arial"/>
        <family val="2"/>
        <scheme val="minor"/>
      </rPr>
      <t xml:space="preserve"> while giving recommendation to handle anomalies, in order to investigate it and to know how to resolve it.</t>
    </r>
  </si>
  <si>
    <t>give a lead</t>
  </si>
  <si>
    <t>Explainability necessity, feedback and monitoring</t>
  </si>
  <si>
    <r>
      <t xml:space="preserve">For explainability you always need to give a lead while giving recommendation to handle anomalies, in order to investigate it and to know how to </t>
    </r>
    <r>
      <rPr>
        <sz val="11"/>
        <color rgb="FFFF0000"/>
        <rFont val="Arial"/>
        <family val="2"/>
        <scheme val="minor"/>
      </rPr>
      <t>resolve it.</t>
    </r>
  </si>
  <si>
    <t>resolve it</t>
  </si>
  <si>
    <t>human-oversight control levels, Human interverance</t>
  </si>
  <si>
    <t>Trust and control, Explainability necessity</t>
  </si>
  <si>
    <t>Trust and control, Explainability necessity, feedback and monitoring</t>
  </si>
  <si>
    <t>QR-0134</t>
  </si>
  <si>
    <t>P08</t>
  </si>
  <si>
    <r>
      <t xml:space="preserve">The usability and client satisfactory are measured by </t>
    </r>
    <r>
      <rPr>
        <sz val="11"/>
        <color rgb="FFFF0000"/>
        <rFont val="Arial"/>
        <family val="2"/>
        <scheme val="minor"/>
      </rPr>
      <t>feedbacks from clients</t>
    </r>
    <r>
      <rPr>
        <sz val="11"/>
        <color theme="1"/>
        <rFont val="Arial"/>
        <family val="2"/>
        <scheme val="minor"/>
      </rPr>
      <t xml:space="preserve"> (The smiles). We need to be always in close connection to the client.</t>
    </r>
  </si>
  <si>
    <t>feedbacks from clients</t>
  </si>
  <si>
    <t>feedback channels, feedbacks from clients</t>
  </si>
  <si>
    <t>Feedbacks and monitroing</t>
  </si>
  <si>
    <t>Feedbacks and monitroing, trust and control</t>
  </si>
  <si>
    <t>QR-0139</t>
  </si>
  <si>
    <t>P09</t>
  </si>
  <si>
    <r>
      <t xml:space="preserve">Second reason is to deal with huge amount of data which cannot be handled without using AI. Example – analyzing huge amount of video clips with </t>
    </r>
    <r>
      <rPr>
        <sz val="11"/>
        <color rgb="FFFF0000"/>
        <rFont val="Arial"/>
        <family val="2"/>
        <scheme val="minor"/>
      </rPr>
      <t>limited number of human eyes</t>
    </r>
    <r>
      <rPr>
        <sz val="11"/>
        <color theme="1"/>
        <rFont val="Arial"/>
        <family val="2"/>
        <scheme val="minor"/>
      </rPr>
      <t>.</t>
    </r>
  </si>
  <si>
    <t>limited number of human eyes</t>
  </si>
  <si>
    <t>QR-0153</t>
  </si>
  <si>
    <r>
      <t xml:space="preserve">The core change when involving AI is the shift of the </t>
    </r>
    <r>
      <rPr>
        <sz val="11"/>
        <color rgb="FFFF0000"/>
        <rFont val="Arial"/>
        <family val="2"/>
        <scheme val="minor"/>
      </rPr>
      <t>human in the process, human becomes a copilot.</t>
    </r>
  </si>
  <si>
    <t>human in the process, human becomes a copilot</t>
  </si>
  <si>
    <t>QR-0178</t>
  </si>
  <si>
    <t>P10</t>
  </si>
  <si>
    <r>
      <t xml:space="preserve">All </t>
    </r>
    <r>
      <rPr>
        <sz val="11"/>
        <color rgb="FFFF0000"/>
        <rFont val="Arial"/>
        <family val="2"/>
        <scheme val="minor"/>
      </rPr>
      <t>clients want explainability</t>
    </r>
    <r>
      <rPr>
        <sz val="11"/>
        <color theme="1"/>
        <rFont val="Arial"/>
        <family val="2"/>
        <scheme val="minor"/>
      </rPr>
      <t>, but you need to bring it in their language. Don't concentrate on the bits and bytes.</t>
    </r>
  </si>
  <si>
    <t>clients want explainability</t>
  </si>
  <si>
    <r>
      <t xml:space="preserve">All clients want explainability, but you need to bring it in their language. </t>
    </r>
    <r>
      <rPr>
        <sz val="11"/>
        <color rgb="FFFF0000"/>
        <rFont val="Arial"/>
        <family val="2"/>
        <scheme val="minor"/>
      </rPr>
      <t>Don't concentrate on the bits and bytes</t>
    </r>
    <r>
      <rPr>
        <sz val="11"/>
        <color theme="1"/>
        <rFont val="Arial"/>
        <family val="2"/>
        <scheme val="minor"/>
      </rPr>
      <t>.</t>
    </r>
  </si>
  <si>
    <t>Don't concentrate on the bits and bytes</t>
  </si>
  <si>
    <t>level of explanation, Explainability methods</t>
  </si>
  <si>
    <t>QR-0193</t>
  </si>
  <si>
    <t>P12</t>
  </si>
  <si>
    <r>
      <t>The</t>
    </r>
    <r>
      <rPr>
        <sz val="11"/>
        <color rgb="FFFF0000"/>
        <rFont val="Arial"/>
        <family val="2"/>
        <scheme val="minor"/>
      </rPr>
      <t xml:space="preserve"> need for explainability is vary between domains</t>
    </r>
    <r>
      <rPr>
        <sz val="11"/>
        <color theme="1"/>
        <rFont val="Arial"/>
        <family val="2"/>
        <scheme val="minor"/>
      </rPr>
      <t>, Algo-trading as an example doesn't need explainability and military tasks and bani allowance must include explainability.</t>
    </r>
  </si>
  <si>
    <t>need for explainability is vary between domains</t>
  </si>
  <si>
    <t>level of explanation, safety-critical systems</t>
  </si>
  <si>
    <t>Explainability necessity, Human oversight in safety critical systems</t>
  </si>
  <si>
    <t>QR-0194</t>
  </si>
  <si>
    <r>
      <t xml:space="preserve">There is also </t>
    </r>
    <r>
      <rPr>
        <sz val="11"/>
        <color rgb="FFFF0000"/>
        <rFont val="Arial"/>
        <family val="2"/>
        <scheme val="minor"/>
      </rPr>
      <t>"soft" explainability</t>
    </r>
    <r>
      <rPr>
        <sz val="11"/>
        <color theme="1"/>
        <rFont val="Arial"/>
        <family val="2"/>
        <scheme val="minor"/>
      </rPr>
      <t xml:space="preserve"> that should provide some intuition regarding the solution without two much details… typical in healthcare.</t>
    </r>
  </si>
  <si>
    <t>"soft" explainability</t>
  </si>
  <si>
    <t>QR-0208</t>
  </si>
  <si>
    <r>
      <t xml:space="preserve">The solution to </t>
    </r>
    <r>
      <rPr>
        <sz val="11"/>
        <color rgb="FFFF0000"/>
        <rFont val="Arial"/>
        <family val="2"/>
        <scheme val="minor"/>
      </rPr>
      <t>improve trust</t>
    </r>
    <r>
      <rPr>
        <sz val="11"/>
        <color theme="1"/>
        <rFont val="Arial"/>
        <family val="2"/>
        <scheme val="minor"/>
      </rPr>
      <t xml:space="preserve"> is to provide users with override capabilities and to use the AI solely as a recommendation engine, thereby granting the user control.</t>
    </r>
  </si>
  <si>
    <t>improve trust</t>
  </si>
  <si>
    <r>
      <t xml:space="preserve">The solution to improve trust is to provide users with </t>
    </r>
    <r>
      <rPr>
        <sz val="11"/>
        <color rgb="FFFF0000"/>
        <rFont val="Arial"/>
        <family val="2"/>
        <scheme val="minor"/>
      </rPr>
      <t>override capabilities</t>
    </r>
    <r>
      <rPr>
        <sz val="11"/>
        <color theme="1"/>
        <rFont val="Arial"/>
        <family val="2"/>
        <scheme val="minor"/>
      </rPr>
      <t xml:space="preserve"> and to use the AI solely as a recommendation engine, thereby granting the user control.</t>
    </r>
  </si>
  <si>
    <t>override capabilities</t>
  </si>
  <si>
    <t>human-oversight control levels</t>
  </si>
  <si>
    <t>Human oversight modes, trust and control</t>
  </si>
  <si>
    <r>
      <t xml:space="preserve">The solution to improve trust is to provide users with override capabilities and to use the AI solely as a recommendation engine, thereby granting the </t>
    </r>
    <r>
      <rPr>
        <sz val="11"/>
        <color rgb="FFFF0000"/>
        <rFont val="Arial"/>
        <family val="2"/>
        <scheme val="minor"/>
      </rPr>
      <t>user control.</t>
    </r>
  </si>
  <si>
    <t>user control.</t>
  </si>
  <si>
    <t>Control over the system</t>
  </si>
  <si>
    <t>Human oversight modes, Feedbacks and monitroing</t>
  </si>
  <si>
    <t>QR-0241</t>
  </si>
  <si>
    <t>P14</t>
  </si>
  <si>
    <r>
      <t>There are</t>
    </r>
    <r>
      <rPr>
        <sz val="11"/>
        <color rgb="FFFF0000"/>
        <rFont val="Arial"/>
        <family val="2"/>
        <scheme val="minor"/>
      </rPr>
      <t xml:space="preserve"> domains where explainability is a must</t>
    </r>
    <r>
      <rPr>
        <sz val="11"/>
        <color theme="1"/>
        <rFont val="Arial"/>
        <family val="2"/>
        <scheme val="minor"/>
      </rPr>
      <t>, like in the legal domain</t>
    </r>
  </si>
  <si>
    <t>domains where explainability is a must</t>
  </si>
  <si>
    <t>nature of the domain, provide explanations, safety-critical systems</t>
  </si>
  <si>
    <t>QR-0243</t>
  </si>
  <si>
    <r>
      <t xml:space="preserve">The method that the </t>
    </r>
    <r>
      <rPr>
        <sz val="11"/>
        <color rgb="FFFF0000"/>
        <rFont val="Arial"/>
        <family val="2"/>
        <scheme val="minor"/>
      </rPr>
      <t>user interacts with the AI mode</t>
    </r>
    <r>
      <rPr>
        <sz val="11"/>
        <color theme="1"/>
        <rFont val="Arial"/>
        <family val="2"/>
        <scheme val="minor"/>
      </rPr>
      <t>l influence the trust. How it is integrated, how he operates with it, does it give you only suggestions?</t>
    </r>
  </si>
  <si>
    <t>user interacts with the AI model</t>
  </si>
  <si>
    <r>
      <t xml:space="preserve">The method that the user interacts with the AI model </t>
    </r>
    <r>
      <rPr>
        <sz val="11"/>
        <color rgb="FFFF0000"/>
        <rFont val="Arial"/>
        <family val="2"/>
        <scheme val="minor"/>
      </rPr>
      <t>influence the trust</t>
    </r>
    <r>
      <rPr>
        <sz val="11"/>
        <color theme="1"/>
        <rFont val="Arial"/>
        <family val="2"/>
        <scheme val="minor"/>
      </rPr>
      <t>. How it is integrated, how he operates with it, does it give you only suggestions?</t>
    </r>
  </si>
  <si>
    <t>influence the trust</t>
  </si>
  <si>
    <t>QR-0253</t>
  </si>
  <si>
    <t>P16</t>
  </si>
  <si>
    <r>
      <rPr>
        <sz val="11"/>
        <color rgb="FFFF0000"/>
        <rFont val="Arial"/>
        <family val="2"/>
        <scheme val="minor"/>
      </rPr>
      <t>Blindfolding is not feasible</t>
    </r>
    <r>
      <rPr>
        <sz val="11"/>
        <color theme="1"/>
        <rFont val="Arial"/>
        <family val="2"/>
        <scheme val="minor"/>
      </rPr>
      <t xml:space="preserve"> when employing AI; it has constraints, necessitating human oversight.</t>
    </r>
  </si>
  <si>
    <t>Blindfolding is not feasible</t>
  </si>
  <si>
    <t>Human oversight modes, expainability necessity</t>
  </si>
  <si>
    <t>QR-0255</t>
  </si>
  <si>
    <r>
      <t xml:space="preserve">Minimize risks associated with using AI by designing systems with controlled behavior, </t>
    </r>
    <r>
      <rPr>
        <sz val="11"/>
        <color rgb="FFFF0000"/>
        <rFont val="Arial"/>
        <family val="2"/>
        <scheme val="minor"/>
      </rPr>
      <t>anticipating potential failures.</t>
    </r>
  </si>
  <si>
    <t>anticipating potential failures</t>
  </si>
  <si>
    <t>Failures handling, mechanisms for monitoring, situational awareness</t>
  </si>
  <si>
    <t>Feedbacks and monitroing, Human oversight modes</t>
  </si>
  <si>
    <t>QR-0257</t>
  </si>
  <si>
    <r>
      <rPr>
        <sz val="11"/>
        <color rgb="FFFF0000"/>
        <rFont val="Arial"/>
        <family val="2"/>
        <scheme val="minor"/>
      </rPr>
      <t xml:space="preserve">Combining human knowledge </t>
    </r>
    <r>
      <rPr>
        <sz val="11"/>
        <color theme="1"/>
        <rFont val="Arial"/>
        <family val="2"/>
        <scheme val="minor"/>
      </rPr>
      <t>with AI processes remains critical for success and informed decision-making.</t>
    </r>
  </si>
  <si>
    <t>Combining human knowledge</t>
  </si>
  <si>
    <t>QR-0258</t>
  </si>
  <si>
    <r>
      <t>AI is more effective in standardized areas focused on pattern recognition and data processing, less so in complex domains</t>
    </r>
    <r>
      <rPr>
        <sz val="11"/>
        <color rgb="FFFF0000"/>
        <rFont val="Arial"/>
        <family val="2"/>
        <scheme val="minor"/>
      </rPr>
      <t xml:space="preserve"> requiring nuanced human understanding</t>
    </r>
    <r>
      <rPr>
        <sz val="11"/>
        <color theme="1"/>
        <rFont val="Arial"/>
        <family val="2"/>
        <scheme val="minor"/>
      </rPr>
      <t>.</t>
    </r>
  </si>
  <si>
    <t>requiring nuanced human understanding</t>
  </si>
  <si>
    <t>Human interverance</t>
  </si>
  <si>
    <t>QR-0265</t>
  </si>
  <si>
    <t>P17</t>
  </si>
  <si>
    <r>
      <t>Explainability requirements are overestimated and they are</t>
    </r>
    <r>
      <rPr>
        <sz val="11"/>
        <color rgb="FFFF0000"/>
        <rFont val="Arial"/>
        <family val="2"/>
        <scheme val="minor"/>
      </rPr>
      <t xml:space="preserve"> gone after the user gain trust</t>
    </r>
    <r>
      <rPr>
        <sz val="11"/>
        <color theme="1"/>
        <rFont val="Arial"/>
        <family val="2"/>
        <scheme val="minor"/>
      </rPr>
      <t>.</t>
    </r>
  </si>
  <si>
    <t>gone after the user gain trust</t>
  </si>
  <si>
    <t>Shifts in trust, Explanation</t>
  </si>
  <si>
    <t>QR-0271</t>
  </si>
  <si>
    <t>P18</t>
  </si>
  <si>
    <r>
      <t xml:space="preserve">There are Python libraries called </t>
    </r>
    <r>
      <rPr>
        <sz val="11"/>
        <color rgb="FFFF0000"/>
        <rFont val="Arial"/>
        <family val="2"/>
        <scheme val="minor"/>
      </rPr>
      <t>SHAP for explainability</t>
    </r>
  </si>
  <si>
    <t>SHAP for explainability</t>
  </si>
  <si>
    <t>QR-0272</t>
  </si>
  <si>
    <r>
      <t xml:space="preserve">The </t>
    </r>
    <r>
      <rPr>
        <sz val="11"/>
        <color rgb="FFFF0000"/>
        <rFont val="Arial"/>
        <family val="2"/>
        <scheme val="minor"/>
      </rPr>
      <t>complexity in providing explainability</t>
    </r>
    <r>
      <rPr>
        <sz val="11"/>
        <color theme="1"/>
        <rFont val="Arial"/>
        <family val="2"/>
        <scheme val="minor"/>
      </rPr>
      <t xml:space="preserve"> is the non-linear connections that the model creates which are difficult to understand by human, even for developers.</t>
    </r>
  </si>
  <si>
    <t>complexity in providing explainability</t>
  </si>
  <si>
    <t>Explainability challenges</t>
  </si>
  <si>
    <t>QR-0273</t>
  </si>
  <si>
    <r>
      <t xml:space="preserve">There is a strong connection between the level of explainability and the </t>
    </r>
    <r>
      <rPr>
        <sz val="11"/>
        <color rgb="FFFF0000"/>
        <rFont val="Arial"/>
        <family val="2"/>
        <scheme val="minor"/>
      </rPr>
      <t>place of the human in the loop</t>
    </r>
  </si>
  <si>
    <t>place of the human in the loop</t>
  </si>
  <si>
    <t>levels of human oversight</t>
  </si>
  <si>
    <t>Human oversight modes, Explainability necessity</t>
  </si>
  <si>
    <t>QR-0274</t>
  </si>
  <si>
    <r>
      <rPr>
        <sz val="11"/>
        <color rgb="FFFF0000"/>
        <rFont val="Arial"/>
        <family val="2"/>
        <scheme val="minor"/>
      </rPr>
      <t>Feature exposure</t>
    </r>
    <r>
      <rPr>
        <sz val="11"/>
        <color theme="1"/>
        <rFont val="Arial"/>
        <family val="2"/>
        <scheme val="minor"/>
      </rPr>
      <t xml:space="preserve"> is the main tool for explainability.</t>
    </r>
  </si>
  <si>
    <t>Feature exposure</t>
  </si>
  <si>
    <t>QR-0289</t>
  </si>
  <si>
    <t>P20</t>
  </si>
  <si>
    <r>
      <rPr>
        <sz val="11"/>
        <color rgb="FFFF0000"/>
        <rFont val="Arial"/>
        <family val="2"/>
        <scheme val="minor"/>
      </rPr>
      <t>High explainability</t>
    </r>
    <r>
      <rPr>
        <sz val="11"/>
        <color theme="1"/>
        <rFont val="Arial"/>
        <family val="2"/>
        <scheme val="minor"/>
      </rPr>
      <t xml:space="preserve"> is critical. A gap in the reliability of the answer will lead to a lack of confidence in the solution</t>
    </r>
  </si>
  <si>
    <t>High explainability</t>
  </si>
  <si>
    <r>
      <t xml:space="preserve">High explainability is critical. A gap in the reliability of the answer will lead to a lack of </t>
    </r>
    <r>
      <rPr>
        <sz val="11"/>
        <color rgb="FFFF0000"/>
        <rFont val="Arial"/>
        <family val="2"/>
        <scheme val="minor"/>
      </rPr>
      <t>confidence in the solution</t>
    </r>
  </si>
  <si>
    <t>confidence in the solution</t>
  </si>
  <si>
    <t>Trust and control, expainability necessity</t>
  </si>
  <si>
    <t>QR-0290</t>
  </si>
  <si>
    <r>
      <t xml:space="preserve">It is imperative to incorporate a verification mechanism for the results. </t>
    </r>
    <r>
      <rPr>
        <sz val="11"/>
        <color rgb="FFFF0000"/>
        <rFont val="Arial"/>
        <family val="2"/>
        <scheme val="minor"/>
      </rPr>
      <t>Human intervention</t>
    </r>
    <r>
      <rPr>
        <sz val="11"/>
        <color theme="1"/>
        <rFont val="Arial"/>
        <family val="2"/>
        <scheme val="minor"/>
      </rPr>
      <t xml:space="preserve"> is currently required for validation</t>
    </r>
  </si>
  <si>
    <t>Human intervention</t>
  </si>
  <si>
    <t>human oversight modes</t>
  </si>
  <si>
    <t>QR-0294</t>
  </si>
  <si>
    <r>
      <t xml:space="preserve">Due to the clear-cut nature of the rules, an AI solution can offer a definitive response, eliminating the need for user discretion. However, </t>
    </r>
    <r>
      <rPr>
        <sz val="11"/>
        <color rgb="FFFF0000"/>
        <rFont val="Arial"/>
        <family val="2"/>
        <scheme val="minor"/>
      </rPr>
      <t>supervision is still required</t>
    </r>
    <r>
      <rPr>
        <sz val="11"/>
        <color theme="1"/>
        <rFont val="Arial"/>
        <family val="2"/>
        <scheme val="minor"/>
      </rPr>
      <t>.</t>
    </r>
  </si>
  <si>
    <t>supervision is still required</t>
  </si>
  <si>
    <t>QR-0305</t>
  </si>
  <si>
    <t>P21</t>
  </si>
  <si>
    <r>
      <t xml:space="preserve">importance of establishing </t>
    </r>
    <r>
      <rPr>
        <sz val="11"/>
        <color rgb="FFFF0000"/>
        <rFont val="Arial"/>
        <family val="2"/>
        <scheme val="minor"/>
      </rPr>
      <t>feedback mechanisms</t>
    </r>
    <r>
      <rPr>
        <sz val="11"/>
        <color theme="1"/>
        <rFont val="Arial"/>
        <family val="2"/>
        <scheme val="minor"/>
      </rPr>
      <t xml:space="preserve"> to assess how AI models perform once integrated into systems. This ongoing evaluation can inform whether to continue with the current approach or make adjustments based on real-world performance.</t>
    </r>
  </si>
  <si>
    <t>feedback mechanisms</t>
  </si>
  <si>
    <t>QR-0307</t>
  </si>
  <si>
    <r>
      <t xml:space="preserve">establishing clear decision-making frameworks that define </t>
    </r>
    <r>
      <rPr>
        <sz val="11"/>
        <color rgb="FFFF0000"/>
        <rFont val="Arial"/>
        <family val="2"/>
        <scheme val="minor"/>
      </rPr>
      <t>the role of human operators in the process</t>
    </r>
    <r>
      <rPr>
        <sz val="11"/>
        <color theme="1"/>
        <rFont val="Arial"/>
        <family val="2"/>
        <scheme val="minor"/>
      </rPr>
      <t>. This ensures that there is always a human in the loop to make critical decisions, especially in high-stakes environments where the cost of errors is significant.</t>
    </r>
  </si>
  <si>
    <t>the role of human operators in the process</t>
  </si>
  <si>
    <r>
      <t xml:space="preserve">establishing clear decision-making frameworks that define the role of human operators in the process. This ensures that there is </t>
    </r>
    <r>
      <rPr>
        <sz val="11"/>
        <color rgb="FFFF0000"/>
        <rFont val="Arial"/>
        <family val="2"/>
        <scheme val="minor"/>
      </rPr>
      <t>always a human in the loop</t>
    </r>
    <r>
      <rPr>
        <sz val="11"/>
        <color theme="1"/>
        <rFont val="Arial"/>
        <family val="2"/>
        <scheme val="minor"/>
      </rPr>
      <t xml:space="preserve"> to make critical decisions, especially in high-stakes environments where the cost of errors is significant.</t>
    </r>
  </si>
  <si>
    <t>always a human in the loop</t>
  </si>
  <si>
    <t>QR-0487</t>
  </si>
  <si>
    <r>
      <t xml:space="preserve">Establishing trust in AI models is a key concern. He talks about the need for thorough validation, especially in </t>
    </r>
    <r>
      <rPr>
        <sz val="11"/>
        <color rgb="FFFF0000"/>
        <rFont val="Arial"/>
        <family val="2"/>
        <scheme val="minor"/>
      </rPr>
      <t>high-stakes environments</t>
    </r>
    <r>
      <rPr>
        <sz val="11"/>
        <color theme="1"/>
        <rFont val="Arial"/>
        <family val="2"/>
        <scheme val="minor"/>
      </rPr>
      <t xml:space="preserve"> where AI decisions must be reliable.</t>
    </r>
  </si>
  <si>
    <t>high-stakes environments</t>
  </si>
  <si>
    <t>safety-critical systems</t>
  </si>
  <si>
    <r>
      <t xml:space="preserve">establishing clear decision-making frameworks that define the role of human operators in the process. This ensures that there is always a human in the loop to make critical decisions, especially in high-stakes environments where the cost of </t>
    </r>
    <r>
      <rPr>
        <sz val="11"/>
        <color rgb="FFFF0000"/>
        <rFont val="Arial"/>
        <family val="2"/>
        <scheme val="minor"/>
      </rPr>
      <t>errors is significant</t>
    </r>
    <r>
      <rPr>
        <sz val="11"/>
        <color theme="1"/>
        <rFont val="Arial"/>
        <family val="2"/>
        <scheme val="minor"/>
      </rPr>
      <t>.</t>
    </r>
  </si>
  <si>
    <t>errors is significant.</t>
  </si>
  <si>
    <t>detect errors</t>
  </si>
  <si>
    <t>QR-0311</t>
  </si>
  <si>
    <r>
      <t xml:space="preserve">it is crucial for users to </t>
    </r>
    <r>
      <rPr>
        <sz val="11"/>
        <color rgb="FFFF0000"/>
        <rFont val="Arial"/>
        <family val="2"/>
        <scheme val="minor"/>
      </rPr>
      <t>understand how AI models arrive at their decisions</t>
    </r>
    <r>
      <rPr>
        <sz val="11"/>
        <color theme="1"/>
        <rFont val="Arial"/>
        <family val="2"/>
        <scheme val="minor"/>
      </rPr>
      <t>. This understanding is necessary not only for trust but also for ensuring that the models are making decisions based on sound reasoning and relevant data.</t>
    </r>
  </si>
  <si>
    <t>understand how AI models arrive at their decisions</t>
  </si>
  <si>
    <t>situational awareness</t>
  </si>
  <si>
    <t>Human oversight modes, explainability necessity</t>
  </si>
  <si>
    <t>QR-0312</t>
  </si>
  <si>
    <r>
      <rPr>
        <sz val="11"/>
        <color rgb="FFFF0000"/>
        <rFont val="Arial"/>
        <family val="2"/>
        <scheme val="minor"/>
      </rPr>
      <t>different users may have varying needs for explanations</t>
    </r>
    <r>
      <rPr>
        <sz val="11"/>
        <color theme="1"/>
        <rFont val="Arial"/>
        <family val="2"/>
        <scheme val="minor"/>
      </rPr>
      <t>. Some users may require detailed insights into how a model works and the rationale behind its decisions, while others may only need a high-level understanding. This variability necessitates a flexible approach to explainability</t>
    </r>
  </si>
  <si>
    <t>different users may have varying needs for explanations</t>
  </si>
  <si>
    <r>
      <t xml:space="preserve">different users may have varying needs for explanations. Some users may require detailed insights into how a model works and the rationale behind its decisions, while others may only need a high-level understanding. This variability necessitates a </t>
    </r>
    <r>
      <rPr>
        <sz val="11"/>
        <color rgb="FFFF0000"/>
        <rFont val="Arial"/>
        <family val="2"/>
        <scheme val="minor"/>
      </rPr>
      <t>flexible approach to</t>
    </r>
    <r>
      <rPr>
        <sz val="11"/>
        <color theme="1"/>
        <rFont val="Arial"/>
        <family val="2"/>
        <scheme val="minor"/>
      </rPr>
      <t xml:space="preserve"> </t>
    </r>
    <r>
      <rPr>
        <sz val="11"/>
        <color rgb="FFFF0000"/>
        <rFont val="Arial"/>
        <family val="2"/>
        <scheme val="minor"/>
      </rPr>
      <t>explainability</t>
    </r>
  </si>
  <si>
    <t>flexible approach to explainability</t>
  </si>
  <si>
    <t>QR-0313</t>
  </si>
  <si>
    <r>
      <t xml:space="preserve">explainability is particularly important in </t>
    </r>
    <r>
      <rPr>
        <sz val="11"/>
        <color rgb="FFFF0000"/>
        <rFont val="Arial"/>
        <family val="2"/>
        <scheme val="minor"/>
      </rPr>
      <t>contexts where safety and regulatory compliance are critical</t>
    </r>
    <r>
      <rPr>
        <sz val="11"/>
        <color theme="1"/>
        <rFont val="Arial"/>
        <family val="2"/>
        <scheme val="minor"/>
      </rPr>
      <t>. In such cases, being able to explain the decisions made by AI systems can help ensure that they meet necessary standards and can be audited effectively</t>
    </r>
  </si>
  <si>
    <t>contexts where safety and regulatory compliance are critical</t>
  </si>
  <si>
    <t>safety-critical systems, regulatory requirements</t>
  </si>
  <si>
    <t>Human oversight in safety critical systems, explainability necessity</t>
  </si>
  <si>
    <t>QR-0314</t>
  </si>
  <si>
    <r>
      <t xml:space="preserve">a lack of explainability can lead to </t>
    </r>
    <r>
      <rPr>
        <sz val="11"/>
        <color rgb="FFFF0000"/>
        <rFont val="Arial"/>
        <family val="2"/>
        <scheme val="minor"/>
      </rPr>
      <t>user skepticism and reluctance</t>
    </r>
    <r>
      <rPr>
        <sz val="11"/>
        <color theme="1"/>
        <rFont val="Arial"/>
        <family val="2"/>
        <scheme val="minor"/>
      </rPr>
      <t xml:space="preserve"> to adopt AI solutions.</t>
    </r>
  </si>
  <si>
    <t>user skepticism and reluctance</t>
  </si>
  <si>
    <t>Explainability and trust</t>
  </si>
  <si>
    <t>QR-0319</t>
  </si>
  <si>
    <r>
      <t xml:space="preserve">If users are skeptical about AI's decision-making capabilities, organizations may need to invest more in explainability and transparency to </t>
    </r>
    <r>
      <rPr>
        <sz val="11"/>
        <color rgb="FFFF0000"/>
        <rFont val="Arial"/>
        <family val="2"/>
        <scheme val="minor"/>
      </rPr>
      <t>foster acceptance</t>
    </r>
    <r>
      <rPr>
        <sz val="11"/>
        <color theme="1"/>
        <rFont val="Arial"/>
        <family val="2"/>
        <scheme val="minor"/>
      </rPr>
      <t>, which can add to the complexity and cost of the solution</t>
    </r>
  </si>
  <si>
    <t>foster acceptance,</t>
  </si>
  <si>
    <t>QR-0342</t>
  </si>
  <si>
    <t>P23</t>
  </si>
  <si>
    <r>
      <t xml:space="preserve">The system can improve based on </t>
    </r>
    <r>
      <rPr>
        <sz val="11"/>
        <color rgb="FFFF0000"/>
        <rFont val="Arial"/>
        <family val="2"/>
        <scheme val="minor"/>
      </rPr>
      <t>user decisions and feedback</t>
    </r>
    <r>
      <rPr>
        <sz val="11"/>
        <color theme="1"/>
        <rFont val="Arial"/>
        <family val="2"/>
        <scheme val="minor"/>
      </rPr>
      <t>. By incorporating insights from users, the AI can refine its recommendations and decision-making processes, enhancing its overall performance</t>
    </r>
  </si>
  <si>
    <t>user decisions and feedback</t>
  </si>
  <si>
    <r>
      <t xml:space="preserve">The system can improve based on user decisions and feedback. By incorporating insights from users, the AI can </t>
    </r>
    <r>
      <rPr>
        <sz val="11"/>
        <color rgb="FFFF0000"/>
        <rFont val="Arial"/>
        <family val="2"/>
        <scheme val="minor"/>
      </rPr>
      <t>refine its recommendations</t>
    </r>
    <r>
      <rPr>
        <sz val="11"/>
        <color theme="1"/>
        <rFont val="Arial"/>
        <family val="2"/>
        <scheme val="minor"/>
      </rPr>
      <t xml:space="preserve"> and decision-making processes, enhancing its overall performance</t>
    </r>
  </si>
  <si>
    <t>refine its recommendations</t>
  </si>
  <si>
    <t>QR-0344</t>
  </si>
  <si>
    <r>
      <t xml:space="preserve">for stakeholders to </t>
    </r>
    <r>
      <rPr>
        <sz val="11"/>
        <color rgb="FFFF0000"/>
        <rFont val="Arial"/>
        <family val="2"/>
        <scheme val="minor"/>
      </rPr>
      <t>trust and effectively use AI systems</t>
    </r>
    <r>
      <rPr>
        <sz val="11"/>
        <color theme="1"/>
        <rFont val="Arial"/>
        <family val="2"/>
        <scheme val="minor"/>
      </rPr>
      <t>, they need to understand how decisions are made. This understanding is crucial for gaining acceptance and ensuring that users feel confident in the recommendations provided by the AI</t>
    </r>
  </si>
  <si>
    <t>trust and effectively use AI systems</t>
  </si>
  <si>
    <r>
      <t xml:space="preserve">for stakeholders to trust and effectively use AI systems, they need to understand how decisions are made. This understanding is </t>
    </r>
    <r>
      <rPr>
        <sz val="11"/>
        <color rgb="FFFF0000"/>
        <rFont val="Arial"/>
        <family val="2"/>
        <scheme val="minor"/>
      </rPr>
      <t>crucial for gaining acceptance</t>
    </r>
    <r>
      <rPr>
        <sz val="11"/>
        <color theme="1"/>
        <rFont val="Arial"/>
        <family val="2"/>
        <scheme val="minor"/>
      </rPr>
      <t xml:space="preserve"> and ensuring that users feel confident in the recommendations provided by the AI</t>
    </r>
  </si>
  <si>
    <t>crucial for gaining acceptance</t>
  </si>
  <si>
    <t>QR-0345</t>
  </si>
  <si>
    <r>
      <t xml:space="preserve">It is important to </t>
    </r>
    <r>
      <rPr>
        <sz val="11"/>
        <color rgb="FFFF0000"/>
        <rFont val="Arial"/>
        <family val="2"/>
        <scheme val="minor"/>
      </rPr>
      <t>present the reasons</t>
    </r>
    <r>
      <rPr>
        <sz val="11"/>
        <color theme="1"/>
        <rFont val="Arial"/>
        <family val="2"/>
        <scheme val="minor"/>
      </rPr>
      <t xml:space="preserve"> behind the AI's decisions in a way that is meaningful to users. This involves not just showing the output but also explaining the factors that influenced the decision, which can help users understand and accept the AI's recommendations.</t>
    </r>
  </si>
  <si>
    <t>present the reasons</t>
  </si>
  <si>
    <r>
      <t xml:space="preserve">It is important to present the reasons behind the AI's decisions in a way that is meaningful to users. This involves not just showing the output but also </t>
    </r>
    <r>
      <rPr>
        <sz val="11"/>
        <color rgb="FFFF0000"/>
        <rFont val="Arial"/>
        <family val="2"/>
        <scheme val="minor"/>
      </rPr>
      <t>explaining the factors that influenced the decision</t>
    </r>
    <r>
      <rPr>
        <sz val="11"/>
        <color theme="1"/>
        <rFont val="Arial"/>
        <family val="2"/>
        <scheme val="minor"/>
      </rPr>
      <t>, which can help users understand and accept the AI's recommendations.</t>
    </r>
  </si>
  <si>
    <t>explaining the factors that influenced the decision</t>
  </si>
  <si>
    <t>QR-0346</t>
  </si>
  <si>
    <r>
      <t xml:space="preserve">The demand for explanations is transient; it </t>
    </r>
    <r>
      <rPr>
        <sz val="11"/>
        <color rgb="FFFF0000"/>
        <rFont val="Arial"/>
        <family val="2"/>
        <scheme val="minor"/>
      </rPr>
      <t>diminishes as user trust in the system grows</t>
    </r>
    <r>
      <rPr>
        <sz val="11"/>
        <color theme="1"/>
        <rFont val="Arial"/>
        <family val="2"/>
        <scheme val="minor"/>
      </rPr>
      <t>.</t>
    </r>
  </si>
  <si>
    <t>diminishes as user trust in the system grows</t>
  </si>
  <si>
    <t>QR-0347</t>
  </si>
  <si>
    <r>
      <t xml:space="preserve">integrating AI solutions with the </t>
    </r>
    <r>
      <rPr>
        <sz val="11"/>
        <color rgb="FFFF0000"/>
        <rFont val="Arial"/>
        <family val="2"/>
        <scheme val="minor"/>
      </rPr>
      <t>client's monitoring systems</t>
    </r>
    <r>
      <rPr>
        <sz val="11"/>
        <color theme="1"/>
        <rFont val="Arial"/>
        <family val="2"/>
        <scheme val="minor"/>
      </rPr>
      <t xml:space="preserve"> is crucial. This integration allows stakeholders to observe the AI's performance in real-time</t>
    </r>
  </si>
  <si>
    <t>client's monitoring systems</t>
  </si>
  <si>
    <t>mechanisms for monitoring</t>
  </si>
  <si>
    <t>Feedback and monitroing</t>
  </si>
  <si>
    <t>QR-0349</t>
  </si>
  <si>
    <r>
      <t xml:space="preserve">Important parameters that </t>
    </r>
    <r>
      <rPr>
        <sz val="11"/>
        <color rgb="FFFF0000"/>
        <rFont val="Arial"/>
        <family val="2"/>
        <scheme val="minor"/>
      </rPr>
      <t>need to be monitored</t>
    </r>
    <r>
      <rPr>
        <sz val="11"/>
        <color theme="1"/>
        <rFont val="Arial"/>
        <family val="2"/>
        <scheme val="minor"/>
      </rPr>
      <t xml:space="preserve"> – Performance (accuracy, precision and recall), data quality, feature selection (which features are used), data drifts, user interaction, system stability, resource utilization.</t>
    </r>
  </si>
  <si>
    <t xml:space="preserve">need to be monitored </t>
  </si>
  <si>
    <t>QR-0359</t>
  </si>
  <si>
    <r>
      <rPr>
        <sz val="11"/>
        <color rgb="FFFF0000"/>
        <rFont val="Arial"/>
        <family val="2"/>
        <scheme val="minor"/>
      </rPr>
      <t>Continuous engagement with users</t>
    </r>
    <r>
      <rPr>
        <sz val="11"/>
        <color theme="1"/>
        <rFont val="Arial"/>
        <family val="2"/>
        <scheme val="minor"/>
      </rPr>
      <t xml:space="preserve"> allows organizations to gather ongoing feedback about the system's performance</t>
    </r>
  </si>
  <si>
    <t>Continuous engagement with users</t>
  </si>
  <si>
    <t>users engagement</t>
  </si>
  <si>
    <r>
      <rPr>
        <sz val="11"/>
        <color rgb="FFFF0000"/>
        <rFont val="Arial"/>
        <family val="2"/>
        <scheme val="minor"/>
      </rPr>
      <t>Continuous engagement</t>
    </r>
    <r>
      <rPr>
        <sz val="11"/>
        <color theme="1"/>
        <rFont val="Arial"/>
        <family val="2"/>
        <scheme val="minor"/>
      </rPr>
      <t xml:space="preserve"> with users allows organizations to gather ongoing feedback about the system's performance</t>
    </r>
  </si>
  <si>
    <t>continuous engagement</t>
  </si>
  <si>
    <t>QR-0366</t>
  </si>
  <si>
    <t>P24</t>
  </si>
  <si>
    <r>
      <t xml:space="preserve">There is a risk of becoming </t>
    </r>
    <r>
      <rPr>
        <sz val="11"/>
        <color rgb="FFFF0000"/>
        <rFont val="Arial"/>
        <family val="2"/>
        <scheme val="minor"/>
      </rPr>
      <t>overly dependent on AI systems</t>
    </r>
    <r>
      <rPr>
        <sz val="11"/>
        <color theme="1"/>
        <rFont val="Arial"/>
        <family val="2"/>
        <scheme val="minor"/>
      </rPr>
      <t>, which may lead to a lack of human oversight. AI cannot fully replace the nuanced understanding that humans bring to complex situations.</t>
    </r>
  </si>
  <si>
    <t>overly dependent on AI systems</t>
  </si>
  <si>
    <t>blind trust, lack of human oversight</t>
  </si>
  <si>
    <t>QR-0392</t>
  </si>
  <si>
    <t>P25</t>
  </si>
  <si>
    <r>
      <t xml:space="preserve">Different stakeholders may have varying levels of technical expertise, so </t>
    </r>
    <r>
      <rPr>
        <sz val="11"/>
        <color rgb="FFFF0000"/>
        <rFont val="Arial"/>
        <family val="2"/>
        <scheme val="minor"/>
      </rPr>
      <t>explanations should be tailored to the audience</t>
    </r>
    <r>
      <rPr>
        <sz val="11"/>
        <color theme="1"/>
        <rFont val="Arial"/>
        <family val="2"/>
        <scheme val="minor"/>
      </rPr>
      <t>. For instance, developers may need in-depth technical details, while end-users may require simpler, more intuitive explanations of how the model works and why it made a specific decision (mainly confidence level of the decision)</t>
    </r>
  </si>
  <si>
    <t>explanations should be tailored to the audience</t>
  </si>
  <si>
    <t>levels of explanation</t>
  </si>
  <si>
    <t>QR-0393</t>
  </si>
  <si>
    <r>
      <rPr>
        <sz val="11"/>
        <color rgb="FFFF0000"/>
        <rFont val="Arial"/>
        <family val="2"/>
        <scheme val="minor"/>
      </rPr>
      <t>Explainability is essential for establishing trust</t>
    </r>
    <r>
      <rPr>
        <sz val="11"/>
        <color theme="1"/>
        <rFont val="Arial"/>
        <family val="2"/>
        <scheme val="minor"/>
      </rPr>
      <t xml:space="preserve"> between users and AI systems. When users can understand and interpret the model's decisions, they are more likely to trust its outputs.</t>
    </r>
  </si>
  <si>
    <t>Explainability is essential for establishing trust</t>
  </si>
  <si>
    <t>QR-0395</t>
  </si>
  <si>
    <r>
      <t xml:space="preserve">Involve users in the development and refinement of the AI system. </t>
    </r>
    <r>
      <rPr>
        <sz val="11"/>
        <color rgb="FFFF0000"/>
        <rFont val="Arial"/>
        <family val="2"/>
        <scheme val="minor"/>
      </rPr>
      <t>Gathering feedback from users</t>
    </r>
    <r>
      <rPr>
        <sz val="11"/>
        <color theme="1"/>
        <rFont val="Arial"/>
        <family val="2"/>
        <scheme val="minor"/>
      </rPr>
      <t xml:space="preserve"> can help tailor the system to their needs and preferences, fostering a sense of ownership and trust.</t>
    </r>
  </si>
  <si>
    <t>Gathering feedback from users</t>
  </si>
  <si>
    <t>QR-0396</t>
  </si>
  <si>
    <r>
      <t>AI models should be designed to</t>
    </r>
    <r>
      <rPr>
        <sz val="11"/>
        <color rgb="FFFF0000"/>
        <rFont val="Arial"/>
        <family val="2"/>
        <scheme val="minor"/>
      </rPr>
      <t xml:space="preserve"> assess their own confidence in the decisions they make</t>
    </r>
    <r>
      <rPr>
        <sz val="11"/>
        <color theme="1"/>
        <rFont val="Arial"/>
        <family val="2"/>
        <scheme val="minor"/>
      </rPr>
      <t>. If a model's confidence falls below a certain threshold, it may be prudent to defer the decision to a human operator or to flag the situation for further review.</t>
    </r>
  </si>
  <si>
    <t>assess their own confidence in the decisions they make</t>
  </si>
  <si>
    <r>
      <t xml:space="preserve">AI models should be designed to assess their own confidence in the decisions they make. If a model's confidence falls below a certain threshold, it may be </t>
    </r>
    <r>
      <rPr>
        <sz val="11"/>
        <color rgb="FFFF0000"/>
        <rFont val="Arial"/>
        <family val="2"/>
        <scheme val="minor"/>
      </rPr>
      <t>prudent to defer the decision to a human operator or to flag the situation</t>
    </r>
    <r>
      <rPr>
        <sz val="11"/>
        <color theme="1"/>
        <rFont val="Arial"/>
        <family val="2"/>
        <scheme val="minor"/>
      </rPr>
      <t xml:space="preserve"> for further review.</t>
    </r>
  </si>
  <si>
    <t>prudent to defer the decision to a human operator or to flag the situation</t>
  </si>
  <si>
    <t>QR-0397</t>
  </si>
  <si>
    <r>
      <t xml:space="preserve">if the model cannot make a confident decision, it can either </t>
    </r>
    <r>
      <rPr>
        <sz val="11"/>
        <color rgb="FFFF0000"/>
        <rFont val="Arial"/>
        <family val="2"/>
        <scheme val="minor"/>
      </rPr>
      <t>pass the decision-making responsibility to a human</t>
    </r>
    <r>
      <rPr>
        <sz val="11"/>
        <color theme="1"/>
        <rFont val="Arial"/>
        <family val="2"/>
        <scheme val="minor"/>
      </rPr>
      <t xml:space="preserve"> or provide alternative recommendations.</t>
    </r>
  </si>
  <si>
    <t>pass the decision-making responsibility to a human</t>
  </si>
  <si>
    <t>Human interverance, intervening or overriding</t>
  </si>
  <si>
    <t>QR-0415</t>
  </si>
  <si>
    <t>P26</t>
  </si>
  <si>
    <r>
      <t xml:space="preserve">the idea of a machine </t>
    </r>
    <r>
      <rPr>
        <sz val="11"/>
        <color rgb="FFFF0000"/>
        <rFont val="Arial"/>
        <family val="2"/>
        <scheme val="minor"/>
      </rPr>
      <t>causing a fatal accident</t>
    </r>
    <r>
      <rPr>
        <sz val="11"/>
        <color theme="1"/>
        <rFont val="Arial"/>
        <family val="2"/>
        <scheme val="minor"/>
      </rPr>
      <t xml:space="preserve"> is psychologically challenging for many. Even if statistics show that autonomous vehicles have a lower accident rate, the public may be reluctant to fully embrace this technology. The concept of a machine taking a human life raises profound ethical questions and challenges our understanding of responsibility and accountability</t>
    </r>
  </si>
  <si>
    <t>causing a fatal accident</t>
  </si>
  <si>
    <t>detect errors, intervening or overriding</t>
  </si>
  <si>
    <r>
      <t xml:space="preserve">the idea of a machine causing a fatal accident is psychologically challenging for many. Even if statistics show that autonomous vehicles have a lower accident rate, the public may be reluctant to fully embrace this technology. The </t>
    </r>
    <r>
      <rPr>
        <sz val="11"/>
        <color rgb="FFFF0000"/>
        <rFont val="Arial"/>
        <family val="2"/>
        <scheme val="minor"/>
      </rPr>
      <t>concept of a machine taking a human life</t>
    </r>
    <r>
      <rPr>
        <sz val="11"/>
        <color theme="1"/>
        <rFont val="Arial"/>
        <family val="2"/>
        <scheme val="minor"/>
      </rPr>
      <t xml:space="preserve"> raises profound ethical questions and challenges our understanding of responsibility and accountability</t>
    </r>
  </si>
  <si>
    <t>concept of a machine taking a human life raises profound ethical questions and challenges</t>
  </si>
  <si>
    <t>safety-critical systems, Ethical constraints, accountability</t>
  </si>
  <si>
    <t>QR-0416</t>
  </si>
  <si>
    <r>
      <t>The strides we've made in technology aren't about creating artificial intelligence, in my opinion. Instead, they've enabled us to create systems that are more</t>
    </r>
    <r>
      <rPr>
        <sz val="11"/>
        <color rgb="FFFF0000"/>
        <rFont val="Arial"/>
        <family val="2"/>
        <scheme val="minor"/>
      </rPr>
      <t xml:space="preserve"> supportive of human operators</t>
    </r>
    <r>
      <rPr>
        <sz val="11"/>
        <color theme="1"/>
        <rFont val="Arial"/>
        <family val="2"/>
        <scheme val="minor"/>
      </rPr>
      <t>.</t>
    </r>
  </si>
  <si>
    <t>supportive of human operators</t>
  </si>
  <si>
    <t>QR-0418</t>
  </si>
  <si>
    <r>
      <t xml:space="preserve">Every change requires research, analysis, cost-benefit analysis, and risk management. Even with classic algorithms, there's always uncertainty about the outcome. So, we try to introduce </t>
    </r>
    <r>
      <rPr>
        <sz val="11"/>
        <color rgb="FFFF0000"/>
        <rFont val="Arial"/>
        <family val="2"/>
        <scheme val="minor"/>
      </rPr>
      <t>safety nets, like fallback mechanisms or gradual transitions</t>
    </r>
    <r>
      <rPr>
        <sz val="11"/>
        <color theme="1"/>
        <rFont val="Arial"/>
        <family val="2"/>
        <scheme val="minor"/>
      </rPr>
      <t>, to ensure stability. But how do we balance innovation with the need for certainty</t>
    </r>
  </si>
  <si>
    <t>safety nets, like fallback mechanisms or gradual transitions</t>
  </si>
  <si>
    <t>intervening or overriding, fallback mechanism</t>
  </si>
  <si>
    <t>Feedbacks and monitroing, Human oversight in safety crticial systems</t>
  </si>
  <si>
    <t>QR-0432</t>
  </si>
  <si>
    <t>P27</t>
  </si>
  <si>
    <r>
      <t xml:space="preserve">In some systems, humans evaluate the AI’s decisions and correct errors, fostering </t>
    </r>
    <r>
      <rPr>
        <sz val="11"/>
        <color rgb="FFFF0000"/>
        <rFont val="Arial"/>
        <family val="2"/>
        <scheme val="minor"/>
      </rPr>
      <t>collaboration between human judgment and AI predictions</t>
    </r>
    <r>
      <rPr>
        <sz val="11"/>
        <color theme="1"/>
        <rFont val="Arial"/>
        <family val="2"/>
        <scheme val="minor"/>
      </rPr>
      <t>.</t>
    </r>
  </si>
  <si>
    <t>collaboration between human judgment and AI predictions.</t>
  </si>
  <si>
    <t>Human interverance, levels of human oversight</t>
  </si>
  <si>
    <t>Trust and control, human oversight modes</t>
  </si>
  <si>
    <t>QR-0440</t>
  </si>
  <si>
    <r>
      <t xml:space="preserve">The importance of </t>
    </r>
    <r>
      <rPr>
        <sz val="11"/>
        <color rgb="FFFF0000"/>
        <rFont val="Arial"/>
        <family val="2"/>
        <scheme val="minor"/>
      </rPr>
      <t>safety and ethical considerations</t>
    </r>
    <r>
      <rPr>
        <sz val="11"/>
        <color theme="1"/>
        <rFont val="Arial"/>
        <family val="2"/>
        <scheme val="minor"/>
      </rPr>
      <t xml:space="preserve"> in AI systems, particularly when they are used in critical military contexts.</t>
    </r>
  </si>
  <si>
    <t>safety and ethical considerations</t>
  </si>
  <si>
    <t>safety-critical systems, Ethical constraints</t>
  </si>
  <si>
    <t>QR-0442</t>
  </si>
  <si>
    <t>balance between fully autonomous AI systems and systems that allow human operators to retain control</t>
  </si>
  <si>
    <r>
      <t xml:space="preserve">A recurring discussion is around the balance between fully autonomous AI systems and systems that allow human operators to retain control. This balance is crucial in </t>
    </r>
    <r>
      <rPr>
        <sz val="11"/>
        <color rgb="FFFF0000"/>
        <rFont val="Arial"/>
        <family val="2"/>
        <scheme val="minor"/>
      </rPr>
      <t>military applications</t>
    </r>
    <r>
      <rPr>
        <sz val="11"/>
        <color theme="1"/>
        <rFont val="Arial"/>
        <family val="2"/>
        <scheme val="minor"/>
      </rPr>
      <t xml:space="preserve"> where the stakes are high.</t>
    </r>
  </si>
  <si>
    <t>military applications</t>
  </si>
  <si>
    <t>QR-0448</t>
  </si>
  <si>
    <r>
      <t xml:space="preserve">There is an inherent risk of over-reliance on AI systems, particularly in </t>
    </r>
    <r>
      <rPr>
        <sz val="11"/>
        <color rgb="FFFF0000"/>
        <rFont val="Arial"/>
        <family val="2"/>
        <scheme val="minor"/>
      </rPr>
      <t>mission-critical operations</t>
    </r>
    <r>
      <rPr>
        <sz val="11"/>
        <color theme="1"/>
        <rFont val="Arial"/>
        <family val="2"/>
        <scheme val="minor"/>
      </rPr>
      <t xml:space="preserve"> where human operators may overly trust AI predictions, leading to potential failures in judgment.</t>
    </r>
  </si>
  <si>
    <t>mission-critical operations</t>
  </si>
  <si>
    <r>
      <t xml:space="preserve">There is an inherent risk of over-reliance on AI systems, particularly in mission-critical operations where human operators may </t>
    </r>
    <r>
      <rPr>
        <sz val="11"/>
        <color rgb="FFFF0000"/>
        <rFont val="Arial"/>
        <family val="2"/>
        <scheme val="minor"/>
      </rPr>
      <t>overly trust AI predictions</t>
    </r>
    <r>
      <rPr>
        <sz val="11"/>
        <color theme="1"/>
        <rFont val="Arial"/>
        <family val="2"/>
        <scheme val="minor"/>
      </rPr>
      <t>, leading to potential failures in judgment.</t>
    </r>
  </si>
  <si>
    <t>overly trust AI predictions</t>
  </si>
  <si>
    <t>over-trust</t>
  </si>
  <si>
    <t>P28</t>
  </si>
  <si>
    <t>QR-0470</t>
  </si>
  <si>
    <t>P29</t>
  </si>
  <si>
    <r>
      <t xml:space="preserve">In some systems, </t>
    </r>
    <r>
      <rPr>
        <sz val="11"/>
        <color rgb="FFFF0000"/>
        <rFont val="Arial"/>
        <family val="2"/>
        <scheme val="minor"/>
      </rPr>
      <t>human operators are involved in decision-making alongside AI.</t>
    </r>
    <r>
      <rPr>
        <sz val="11"/>
        <color theme="1"/>
        <rFont val="Arial"/>
        <family val="2"/>
        <scheme val="minor"/>
      </rPr>
      <t xml:space="preserve"> This "human-in-the-loop" approach ensures that final decisions are reviewed by a human, particularly in high-risk or critical applications</t>
    </r>
  </si>
  <si>
    <t>human operators are involved in decision-making alongside AI</t>
  </si>
  <si>
    <r>
      <t xml:space="preserve">In some systems, human operators are involved in decision-making alongside AI. This "human-in-the-loop" approach ensures that final decisions are reviewed by a human, </t>
    </r>
    <r>
      <rPr>
        <sz val="11"/>
        <color rgb="FFFF0000"/>
        <rFont val="Arial"/>
        <family val="2"/>
        <scheme val="minor"/>
      </rPr>
      <t>particularly in high-risk or critical applications</t>
    </r>
  </si>
  <si>
    <t>particularly in high-risk or critical applications</t>
  </si>
  <si>
    <t>QR-0471</t>
  </si>
  <si>
    <r>
      <t xml:space="preserve">testing AI-powered systems is more complex than traditional systems. Unlike static systems, AI models may evolve, requiring </t>
    </r>
    <r>
      <rPr>
        <sz val="11"/>
        <color rgb="FFFF0000"/>
        <rFont val="Arial"/>
        <family val="2"/>
        <scheme val="minor"/>
      </rPr>
      <t>continuous validation and monitoring</t>
    </r>
    <r>
      <rPr>
        <sz val="11"/>
        <color theme="1"/>
        <rFont val="Arial"/>
        <family val="2"/>
        <scheme val="minor"/>
      </rPr>
      <t xml:space="preserve"> to ensure reliable performance</t>
    </r>
  </si>
  <si>
    <t>continuous validation and monitoring</t>
  </si>
  <si>
    <t>QR-0472</t>
  </si>
  <si>
    <r>
      <t>Building trust in AI models is essential, particularly when AI systems are introduced into critical operations. Extensive testing and</t>
    </r>
    <r>
      <rPr>
        <sz val="11"/>
        <color rgb="FFFF0000"/>
        <rFont val="Arial"/>
        <family val="2"/>
        <scheme val="minor"/>
      </rPr>
      <t xml:space="preserve"> transparent decision-making processes are necessary to gain user trust</t>
    </r>
  </si>
  <si>
    <t>transparent decision-making processes are necessary to gain user trust</t>
  </si>
  <si>
    <t>QR-0474</t>
  </si>
  <si>
    <r>
      <t xml:space="preserve">The </t>
    </r>
    <r>
      <rPr>
        <sz val="11"/>
        <color rgb="FFFF0000"/>
        <rFont val="Arial"/>
        <family val="2"/>
        <scheme val="minor"/>
      </rPr>
      <t>user’s feedback</t>
    </r>
    <r>
      <rPr>
        <sz val="11"/>
        <color theme="1"/>
        <rFont val="Arial"/>
        <family val="2"/>
        <scheme val="minor"/>
      </rPr>
      <t xml:space="preserve"> is critical to refining the system and ensuring that it meets operational needs</t>
    </r>
  </si>
  <si>
    <t>user’s feedback</t>
  </si>
  <si>
    <t>QR-0478</t>
  </si>
  <si>
    <r>
      <rPr>
        <sz val="11"/>
        <color rgb="FFFF0000"/>
        <rFont val="Arial"/>
        <family val="2"/>
        <scheme val="minor"/>
      </rPr>
      <t xml:space="preserve">Continuous monitoring </t>
    </r>
    <r>
      <rPr>
        <sz val="11"/>
        <color theme="1"/>
        <rFont val="Arial"/>
        <family val="2"/>
        <scheme val="minor"/>
      </rPr>
      <t>of AI system performance is essential, particularly in dynamic environments. Feedback loops should be implemented to detect performance issues and improve the system.</t>
    </r>
  </si>
  <si>
    <t>Continuous monitoring</t>
  </si>
  <si>
    <r>
      <t xml:space="preserve">Continuous monitoring of AI system performance is essential, particularly in dynamic environments. </t>
    </r>
    <r>
      <rPr>
        <sz val="11"/>
        <color rgb="FFFF0000"/>
        <rFont val="Arial"/>
        <family val="2"/>
        <scheme val="minor"/>
      </rPr>
      <t>Feedback loops</t>
    </r>
    <r>
      <rPr>
        <sz val="11"/>
        <color theme="1"/>
        <rFont val="Arial"/>
        <family val="2"/>
        <scheme val="minor"/>
      </rPr>
      <t xml:space="preserve"> should be implemented to detect performance issues and improve the system.</t>
    </r>
  </si>
  <si>
    <t>Feedback loops</t>
  </si>
  <si>
    <t>QR-0481</t>
  </si>
  <si>
    <r>
      <rPr>
        <sz val="11"/>
        <color rgb="FFFF0000"/>
        <rFont val="Arial"/>
        <family val="2"/>
        <scheme val="minor"/>
      </rPr>
      <t xml:space="preserve">Trust-building is essential </t>
    </r>
    <r>
      <rPr>
        <sz val="11"/>
        <color theme="1"/>
        <rFont val="Arial"/>
        <family val="2"/>
        <scheme val="minor"/>
      </rPr>
      <t>when implementing AI systems, especially when transitioning from conventional, deterministic systems to data-driven, probabilistic models</t>
    </r>
  </si>
  <si>
    <t>Trust-building is essential</t>
  </si>
  <si>
    <t>QR-0483</t>
  </si>
  <si>
    <r>
      <t xml:space="preserve">The integration of human factors into the validation process is essential. It’s necessary to ensure that users can effectively operate the AI-powered systems, and that the system provides </t>
    </r>
    <r>
      <rPr>
        <sz val="11"/>
        <color rgb="FFFF0000"/>
        <rFont val="Arial"/>
        <family val="2"/>
        <scheme val="minor"/>
      </rPr>
      <t>adequate feedback to the users</t>
    </r>
    <r>
      <rPr>
        <sz val="11"/>
        <color theme="1"/>
        <rFont val="Arial"/>
        <family val="2"/>
        <scheme val="minor"/>
      </rPr>
      <t>.</t>
    </r>
  </si>
  <si>
    <t>adequate feedback to the users.</t>
  </si>
  <si>
    <t>QR-0492</t>
  </si>
  <si>
    <r>
      <t xml:space="preserve">In high-stakes systems, there is often a </t>
    </r>
    <r>
      <rPr>
        <sz val="11"/>
        <color rgb="FFFF0000"/>
        <rFont val="Arial"/>
        <family val="2"/>
        <scheme val="minor"/>
      </rPr>
      <t>need for human oversight</t>
    </r>
    <r>
      <rPr>
        <sz val="11"/>
        <color theme="1"/>
        <rFont val="Arial"/>
        <family val="2"/>
        <scheme val="minor"/>
      </rPr>
      <t>, even when AI is making decisions. He discusses how human involvement remains important to monitor AI outputs.</t>
    </r>
  </si>
  <si>
    <t>need for human oversight</t>
  </si>
  <si>
    <t>Human oversight modes, Human oversight in safety critical systems</t>
  </si>
  <si>
    <r>
      <t xml:space="preserve">In high-stakes systems, there is often a need for human oversight, even when AI is making decisions. He discusses how </t>
    </r>
    <r>
      <rPr>
        <sz val="11"/>
        <color rgb="FFFF0000"/>
        <rFont val="Arial"/>
        <family val="2"/>
        <scheme val="minor"/>
      </rPr>
      <t xml:space="preserve">human involvement </t>
    </r>
    <r>
      <rPr>
        <sz val="11"/>
        <color theme="1"/>
        <rFont val="Arial"/>
        <family val="2"/>
        <scheme val="minor"/>
      </rPr>
      <t>remains important to monitor AI outputs.</t>
    </r>
  </si>
  <si>
    <t>human involvement</t>
  </si>
  <si>
    <r>
      <t xml:space="preserve">In high-stakes systems, there is often a need for human oversight, even when AI is making decisions. He discusses how human involvement remains important to </t>
    </r>
    <r>
      <rPr>
        <sz val="11"/>
        <color rgb="FFFF0000"/>
        <rFont val="Arial"/>
        <family val="2"/>
        <scheme val="minor"/>
      </rPr>
      <t>monitor AI outputs</t>
    </r>
    <r>
      <rPr>
        <sz val="11"/>
        <color theme="1"/>
        <rFont val="Arial"/>
        <family val="2"/>
        <scheme val="minor"/>
      </rPr>
      <t>.</t>
    </r>
  </si>
  <si>
    <t>monitor AI outputs</t>
  </si>
  <si>
    <t>QR-0493</t>
  </si>
  <si>
    <r>
      <t xml:space="preserve">Regulatory bodies impose constraints on how AI can be used, especially in systems that involve </t>
    </r>
    <r>
      <rPr>
        <sz val="11"/>
        <color rgb="FFFF0000"/>
        <rFont val="Arial"/>
        <family val="2"/>
        <scheme val="minor"/>
      </rPr>
      <t>safety-critical decisions</t>
    </r>
    <r>
      <rPr>
        <sz val="11"/>
        <color theme="1"/>
        <rFont val="Arial"/>
        <family val="2"/>
        <scheme val="minor"/>
      </rPr>
      <t>.</t>
    </r>
  </si>
  <si>
    <t>safety-critical decisions</t>
  </si>
  <si>
    <t>QR-0496</t>
  </si>
  <si>
    <r>
      <rPr>
        <sz val="11"/>
        <color rgb="FFFF0000"/>
        <rFont val="Arial"/>
        <family val="2"/>
        <scheme val="minor"/>
      </rPr>
      <t>Customer feedback</t>
    </r>
    <r>
      <rPr>
        <sz val="11"/>
        <color theme="1"/>
        <rFont val="Arial"/>
        <family val="2"/>
        <scheme val="minor"/>
      </rPr>
      <t xml:space="preserve"> is integral to AI development. He describes how they maintain continuous engagement with clients to ensure that AI systems evolve according to user needs and operational realities</t>
    </r>
  </si>
  <si>
    <t>Customer feedback</t>
  </si>
  <si>
    <t>QR-0498</t>
  </si>
  <si>
    <r>
      <t xml:space="preserve">There are ethical concerns about how AI is implemented in autonomous systems, particularly in making decisions that could have significant consequences. He talks about </t>
    </r>
    <r>
      <rPr>
        <sz val="11"/>
        <color rgb="FFFF0000"/>
        <rFont val="Arial"/>
        <family val="2"/>
        <scheme val="minor"/>
      </rPr>
      <t>balancing AI capabilities with human oversight</t>
    </r>
    <r>
      <rPr>
        <sz val="11"/>
        <color theme="1"/>
        <rFont val="Arial"/>
        <family val="2"/>
        <scheme val="minor"/>
      </rPr>
      <t>.</t>
    </r>
  </si>
  <si>
    <t>balancing AI capabilities with human oversight</t>
  </si>
  <si>
    <t>trade-off between oversight and other system qualities</t>
  </si>
  <si>
    <t>QR-0514</t>
  </si>
  <si>
    <t>P33</t>
  </si>
  <si>
    <r>
      <t>importance of</t>
    </r>
    <r>
      <rPr>
        <sz val="11"/>
        <color rgb="FFFF0000"/>
        <rFont val="Arial"/>
        <family val="2"/>
        <scheme val="minor"/>
      </rPr>
      <t xml:space="preserve"> keeping human operators involved</t>
    </r>
    <r>
      <rPr>
        <sz val="11"/>
        <color theme="1"/>
        <rFont val="Arial"/>
        <family val="2"/>
        <scheme val="minor"/>
      </rPr>
      <t xml:space="preserve"> in the decision-making process, especially in high-stakes environments.</t>
    </r>
  </si>
  <si>
    <t>keeping human operators involved</t>
  </si>
  <si>
    <t>QR-0526</t>
  </si>
  <si>
    <r>
      <rPr>
        <sz val="11"/>
        <color rgb="FFFF0000"/>
        <rFont val="Arial"/>
        <family val="2"/>
        <scheme val="minor"/>
      </rPr>
      <t>Monitoring tools</t>
    </r>
    <r>
      <rPr>
        <sz val="11"/>
        <color theme="1"/>
        <rFont val="Arial"/>
        <family val="2"/>
        <scheme val="minor"/>
      </rPr>
      <t xml:space="preserve"> should track not only algorithmic metrics but also the operational Key Performance Indicators (KPIs) that measure the system's real-world impact</t>
    </r>
  </si>
  <si>
    <t>Monitoring tools</t>
  </si>
  <si>
    <t>QR-0531</t>
  </si>
  <si>
    <r>
      <t>when customers claim a model isn’t “explainable,” it often signals a deeper issue of</t>
    </r>
    <r>
      <rPr>
        <sz val="11"/>
        <color rgb="FFFF0000"/>
        <rFont val="Arial"/>
        <family val="2"/>
        <scheme val="minor"/>
      </rPr>
      <t xml:space="preserve"> distrust or fear of the unknown</t>
    </r>
    <r>
      <rPr>
        <sz val="11"/>
        <color theme="1"/>
        <rFont val="Arial"/>
        <family val="2"/>
        <scheme val="minor"/>
      </rPr>
      <t>. Even detailed explanations may not always alleviate this fear, especially if the customer is unfamiliar with AI concepts</t>
    </r>
  </si>
  <si>
    <t>distrust or fear of the unknown</t>
  </si>
  <si>
    <r>
      <t xml:space="preserve">when customers claim a model isn’t “explainable,” it often signals a deeper issue of distrust or fear of the unknown. Even detailed explanations may not always alleviate this fear, especially if the </t>
    </r>
    <r>
      <rPr>
        <sz val="11"/>
        <color rgb="FFFF0000"/>
        <rFont val="Arial"/>
        <family val="2"/>
        <scheme val="minor"/>
      </rPr>
      <t xml:space="preserve">customer is unfamiliar with AI </t>
    </r>
    <r>
      <rPr>
        <sz val="11"/>
        <color theme="1"/>
        <rFont val="Arial"/>
        <family val="2"/>
        <scheme val="minor"/>
      </rPr>
      <t>concepts</t>
    </r>
  </si>
  <si>
    <t>customer is unfamiliar</t>
  </si>
  <si>
    <t>provide explanations, tailored eplanations</t>
  </si>
  <si>
    <t>QR-0539</t>
  </si>
  <si>
    <t>P34</t>
  </si>
  <si>
    <r>
      <t xml:space="preserve">In scenarios where explainability is a high priority, traditional algorithms are favored due to their transparency. When </t>
    </r>
    <r>
      <rPr>
        <sz val="11"/>
        <color rgb="FFFF0000"/>
        <rFont val="Arial"/>
        <family val="2"/>
        <scheme val="minor"/>
      </rPr>
      <t>customer trust hinges on understanding how the system works</t>
    </r>
    <r>
      <rPr>
        <sz val="11"/>
        <color theme="1"/>
        <rFont val="Arial"/>
        <family val="2"/>
        <scheme val="minor"/>
      </rPr>
      <t>, ML models, particularly deep learning, may be avoided unless alternative explainability techniques can be used</t>
    </r>
  </si>
  <si>
    <t>customer trust hinges on understanding how the system works</t>
  </si>
  <si>
    <r>
      <t xml:space="preserve">In scenarios where explainability is a high priority, traditional algorithms are favored due to their transparency. When customer trust hinges on understanding how the system works, ML models, particularly deep learning, may be avoided unless </t>
    </r>
    <r>
      <rPr>
        <sz val="11"/>
        <color rgb="FFFF0000"/>
        <rFont val="Arial"/>
        <family val="2"/>
        <scheme val="minor"/>
      </rPr>
      <t>alternative explainability techniques</t>
    </r>
    <r>
      <rPr>
        <sz val="11"/>
        <color theme="1"/>
        <rFont val="Arial"/>
        <family val="2"/>
        <scheme val="minor"/>
      </rPr>
      <t xml:space="preserve"> can be used</t>
    </r>
  </si>
  <si>
    <t>alternative explainability techniques</t>
  </si>
  <si>
    <t>QR-0543</t>
  </si>
  <si>
    <r>
      <t>highlights the importance of</t>
    </r>
    <r>
      <rPr>
        <sz val="11"/>
        <color rgb="FFFF0000"/>
        <rFont val="Arial"/>
        <family val="2"/>
        <scheme val="minor"/>
      </rPr>
      <t xml:space="preserve"> explainability for customer trust and decision-making</t>
    </r>
    <r>
      <rPr>
        <sz val="11"/>
        <color theme="1"/>
        <rFont val="Arial"/>
        <family val="2"/>
        <scheme val="minor"/>
      </rPr>
      <t>, especially in military applications where transparency is crucial.</t>
    </r>
  </si>
  <si>
    <t>explainability for customer trust and decision-making</t>
  </si>
  <si>
    <t>QR-0544</t>
  </si>
  <si>
    <r>
      <t xml:space="preserve">some systems begin as operator-support systems and </t>
    </r>
    <r>
      <rPr>
        <sz val="11"/>
        <color rgb="FFFF0000"/>
        <rFont val="Arial"/>
        <family val="2"/>
        <scheme val="minor"/>
      </rPr>
      <t>evolve into fully automated or autonomous</t>
    </r>
    <r>
      <rPr>
        <sz val="11"/>
        <color theme="1"/>
        <rFont val="Arial"/>
        <family val="2"/>
        <scheme val="minor"/>
      </rPr>
      <t xml:space="preserve"> systems over time, as both the operators and the system gain trust in the AI.</t>
    </r>
  </si>
  <si>
    <t>evolve into fully automated or autonomous</t>
  </si>
  <si>
    <t>Shifts in trust, dynamic oversight</t>
  </si>
  <si>
    <t>Trust and control, Human oversight modes</t>
  </si>
  <si>
    <t>QR-0547</t>
  </si>
  <si>
    <r>
      <t xml:space="preserve">The team remains involved with clients even after deployment, </t>
    </r>
    <r>
      <rPr>
        <sz val="11"/>
        <color rgb="FFFF0000"/>
        <rFont val="Arial"/>
        <family val="2"/>
        <scheme val="minor"/>
      </rPr>
      <t xml:space="preserve">collecting feedback from the operational environment </t>
    </r>
    <r>
      <rPr>
        <sz val="11"/>
        <color theme="1"/>
        <rFont val="Arial"/>
        <family val="2"/>
        <scheme val="minor"/>
      </rPr>
      <t>to continuously improve AI system performance.</t>
    </r>
  </si>
  <si>
    <t>collecting feedback from the operational environment</t>
  </si>
  <si>
    <t>feedback channels</t>
  </si>
  <si>
    <t>QR-0556</t>
  </si>
  <si>
    <t>P35</t>
  </si>
  <si>
    <r>
      <t xml:space="preserve">in systems where human decision-making is critical, AI is typically </t>
    </r>
    <r>
      <rPr>
        <sz val="11"/>
        <color rgb="FFFF0000"/>
        <rFont val="Arial"/>
        <family val="2"/>
        <scheme val="minor"/>
      </rPr>
      <t>used as a support tool</t>
    </r>
    <r>
      <rPr>
        <sz val="11"/>
        <color theme="1"/>
        <rFont val="Arial"/>
        <family val="2"/>
        <scheme val="minor"/>
      </rPr>
      <t xml:space="preserve"> rather than a fully autonomous solution. This balance between human and AI roles needs to be carefully evaluated during the design phase to ensure the system meets both performance and safety requirements.</t>
    </r>
  </si>
  <si>
    <t>used as a support tool</t>
  </si>
  <si>
    <t>none</t>
  </si>
  <si>
    <r>
      <t xml:space="preserve">in systems where human decision-making is critical, AI is typically used as a support tool rather than a fully autonomous solution. This </t>
    </r>
    <r>
      <rPr>
        <sz val="11"/>
        <color rgb="FFFF0000"/>
        <rFont val="Arial"/>
        <family val="2"/>
        <scheme val="minor"/>
      </rPr>
      <t>balance between human and AI roles</t>
    </r>
    <r>
      <rPr>
        <sz val="11"/>
        <color theme="1"/>
        <rFont val="Arial"/>
        <family val="2"/>
        <scheme val="minor"/>
      </rPr>
      <t xml:space="preserve"> needs to be carefully evaluated during the design phase to ensure the system meets both performance and safety requirements.</t>
    </r>
  </si>
  <si>
    <t>balance between human and AI roles</t>
  </si>
  <si>
    <r>
      <t xml:space="preserve">in systems where human decision-making is critical, AI is typically used as a support tool rather than a fully autonomous solution. This balance between human and AI roles needs to be carefully evaluated during the design phase to ensure the </t>
    </r>
    <r>
      <rPr>
        <sz val="11"/>
        <color rgb="FFFF0000"/>
        <rFont val="Arial"/>
        <family val="2"/>
        <scheme val="minor"/>
      </rPr>
      <t>system meets both performance and safety requirements.</t>
    </r>
  </si>
  <si>
    <t>system meets both performance and safety requirements</t>
  </si>
  <si>
    <t>QR-0557</t>
  </si>
  <si>
    <r>
      <t xml:space="preserve">The </t>
    </r>
    <r>
      <rPr>
        <sz val="11"/>
        <color rgb="FFFF0000"/>
        <rFont val="Arial"/>
        <family val="2"/>
        <scheme val="minor"/>
      </rPr>
      <t>evaluation of human involvement</t>
    </r>
    <r>
      <rPr>
        <sz val="11"/>
        <color theme="1"/>
        <rFont val="Arial"/>
        <family val="2"/>
        <scheme val="minor"/>
      </rPr>
      <t xml:space="preserve"> happens as part of analyzing the system's requirements and understanding where the AI's potential lies</t>
    </r>
  </si>
  <si>
    <t>evaluation of human involvement</t>
  </si>
  <si>
    <t>human-oversight evaluation</t>
  </si>
  <si>
    <t>QR-0558</t>
  </si>
  <si>
    <r>
      <t>There is a continuous process of defining where</t>
    </r>
    <r>
      <rPr>
        <sz val="11"/>
        <color rgb="FFFF0000"/>
        <rFont val="Arial"/>
        <family val="2"/>
        <scheme val="minor"/>
      </rPr>
      <t xml:space="preserve"> humans should intervene</t>
    </r>
    <r>
      <rPr>
        <sz val="11"/>
        <color theme="1"/>
        <rFont val="Arial"/>
        <family val="2"/>
        <scheme val="minor"/>
      </rPr>
      <t>, depending on the system’s maturity and the nature of the AI task at hand</t>
    </r>
  </si>
  <si>
    <t>humans should intervene</t>
  </si>
  <si>
    <t>QR-0569</t>
  </si>
  <si>
    <r>
      <t xml:space="preserve">Trust in AI systems in the military is crucial. </t>
    </r>
    <r>
      <rPr>
        <sz val="11"/>
        <color rgb="FFFF0000"/>
        <rFont val="Arial"/>
        <family val="2"/>
        <scheme val="minor"/>
      </rPr>
      <t>Operators and decision-makers need to understand</t>
    </r>
    <r>
      <rPr>
        <sz val="11"/>
        <color theme="1"/>
        <rFont val="Arial"/>
        <family val="2"/>
        <scheme val="minor"/>
      </rPr>
      <t xml:space="preserve"> why AI makes certain decisions, especially in complex scenarios like combat or surveillance.</t>
    </r>
  </si>
  <si>
    <t>Operators and decision-makers need to understand</t>
  </si>
  <si>
    <t>QR-0570</t>
  </si>
  <si>
    <r>
      <t xml:space="preserve">Since military AI systems often </t>
    </r>
    <r>
      <rPr>
        <sz val="11"/>
        <color rgb="FFFF0000"/>
        <rFont val="Arial"/>
        <family val="2"/>
        <scheme val="minor"/>
      </rPr>
      <t>work alongside human operators</t>
    </r>
    <r>
      <rPr>
        <sz val="11"/>
        <color theme="1"/>
        <rFont val="Arial"/>
        <family val="2"/>
        <scheme val="minor"/>
      </rPr>
      <t>, understanding and anticipating AI behavior is critical. There is a need for clear guidelines on when human operators should intervene, as well as systems that can explain their recommendations or actions in real-time</t>
    </r>
  </si>
  <si>
    <t>work alongside human operators</t>
  </si>
  <si>
    <r>
      <t>Since military AI systems often work alongside human operators,</t>
    </r>
    <r>
      <rPr>
        <sz val="11"/>
        <color rgb="FFFF0000"/>
        <rFont val="Arial"/>
        <family val="2"/>
        <scheme val="minor"/>
      </rPr>
      <t xml:space="preserve"> understanding and anticipating AI behavior is critical</t>
    </r>
    <r>
      <rPr>
        <sz val="11"/>
        <color theme="1"/>
        <rFont val="Arial"/>
        <family val="2"/>
        <scheme val="minor"/>
      </rPr>
      <t>. There is a need for clear guidelines on when human operators should intervene, as well as systems that can explain their recommendations or actions in real-time</t>
    </r>
  </si>
  <si>
    <t>understanding and anticipating AI behavior is critical</t>
  </si>
  <si>
    <t>QR-0573</t>
  </si>
  <si>
    <r>
      <t xml:space="preserve">The use of AI in autonomous weapons and decision-making raises </t>
    </r>
    <r>
      <rPr>
        <sz val="11"/>
        <color rgb="FFFF0000"/>
        <rFont val="Arial"/>
        <family val="2"/>
        <scheme val="minor"/>
      </rPr>
      <t>significant ethical concerns</t>
    </r>
    <r>
      <rPr>
        <sz val="11"/>
        <color theme="1"/>
        <rFont val="Arial"/>
        <family val="2"/>
        <scheme val="minor"/>
      </rPr>
      <t>. Should AI be trusted to make life-and-death decisions? The question of whether AI should have lethal autonomy is a hotly debated issue globally</t>
    </r>
  </si>
  <si>
    <t>significant ethical concerns</t>
  </si>
  <si>
    <r>
      <t xml:space="preserve">The use of AI in </t>
    </r>
    <r>
      <rPr>
        <sz val="11"/>
        <color rgb="FFFF0000"/>
        <rFont val="Arial"/>
        <family val="2"/>
        <scheme val="minor"/>
      </rPr>
      <t>autonomous weapons</t>
    </r>
    <r>
      <rPr>
        <sz val="11"/>
        <color theme="1"/>
        <rFont val="Arial"/>
        <family val="2"/>
        <scheme val="minor"/>
      </rPr>
      <t xml:space="preserve"> and decision-making raises significant ethical concerns. Should AI be trusted to make life-and-death decisions? The question of whether AI should have lethal autonomy is a hotly debated issue globally</t>
    </r>
  </si>
  <si>
    <t>autonomous weapons</t>
  </si>
  <si>
    <t>QR-0579</t>
  </si>
  <si>
    <r>
      <t>highlights the need for systems that</t>
    </r>
    <r>
      <rPr>
        <sz val="11"/>
        <color rgb="FFFF0000"/>
        <rFont val="Arial"/>
        <family val="2"/>
        <scheme val="minor"/>
      </rPr>
      <t xml:space="preserve"> allow human operators to intervene</t>
    </r>
    <r>
      <rPr>
        <sz val="11"/>
        <color theme="1"/>
        <rFont val="Arial"/>
        <family val="2"/>
        <scheme val="minor"/>
      </rPr>
      <t xml:space="preserve"> when necessary, and the challenge of ensuring that operators understand when and how to engage with the AI.</t>
    </r>
  </si>
  <si>
    <t>allow human operators to intervene</t>
  </si>
  <si>
    <r>
      <t>Ethical requirements lead to definitions of the</t>
    </r>
    <r>
      <rPr>
        <sz val="11"/>
        <color rgb="FFFF0000"/>
        <rFont val="Arial"/>
        <family val="2"/>
        <scheme val="minor"/>
      </rPr>
      <t xml:space="preserve"> involvement of the human in the loop</t>
    </r>
  </si>
  <si>
    <r>
      <t xml:space="preserve">The </t>
    </r>
    <r>
      <rPr>
        <sz val="11"/>
        <color rgb="FFFF0000"/>
        <rFont val="Arial"/>
        <family val="2"/>
        <scheme val="minor"/>
      </rPr>
      <t>shift from man in the loop to man on the loop</t>
    </r>
    <r>
      <rPr>
        <sz val="11"/>
        <color theme="1"/>
        <rFont val="Arial"/>
        <family val="2"/>
        <scheme val="minor"/>
      </rPr>
      <t xml:space="preserve"> requires to strengthen the explainability. Moving from man on the loop to man out of the loop releases the need for explainability</t>
    </r>
  </si>
  <si>
    <t>P32</t>
  </si>
  <si>
    <t>Distinct excerpt texts</t>
  </si>
  <si>
    <t>Retained initial code</t>
  </si>
  <si>
    <t>retained codes</t>
  </si>
  <si>
    <t>Article title: How Teams Decide on Human Oversight in AI-Powered Systems: A Mixed-Methods Study</t>
  </si>
  <si>
    <t>Purpose and units</t>
  </si>
  <si>
    <t>Purpose</t>
  </si>
  <si>
    <t>Coding record for the focused analysis of oversight-relevant material from the existing stakeholder interviews.</t>
  </si>
  <si>
    <t>Coding rows</t>
  </si>
  <si>
    <t>123 populated coding rows in quotations!A2:H124. One excerpt may appear in several rows to record different coding decisions.</t>
  </si>
  <si>
    <t>94 different stored text strings in column C, counting repeated excerpt texts once.</t>
  </si>
  <si>
    <t>Interview coverage</t>
  </si>
  <si>
    <t>27 distinct anonymised source interview IDs in column B, drawn from the broader dataset of 35 stakeholder interviews.</t>
  </si>
  <si>
    <t>Initial open codes</t>
  </si>
  <si>
    <t>47 distinct comma-separated open-code labels in column E after trimming surrounding spaces.</t>
  </si>
  <si>
    <t>Final coding</t>
  </si>
  <si>
    <t>121 rows retain at least one final theme assignment. Two rows marked none in column G are retained in the record but excluded from final theme coding.</t>
  </si>
  <si>
    <t>Column definitions</t>
  </si>
  <si>
    <t>A — Quotation ID</t>
  </si>
  <si>
    <t>Reference identifier for the source excerpt. IDs can repeat across coding rows; count distinct excerpt texts using column C.</t>
  </si>
  <si>
    <t>B — Source interview ID</t>
  </si>
  <si>
    <t>Anonymised interview identifier. Repeated IDs indicate multiple coding records from the same interview.</t>
  </si>
  <si>
    <t>C — Excerpt text</t>
  </si>
  <si>
    <t>D — Notes</t>
  </si>
  <si>
    <t>Short notes associated with the coding record.</t>
  </si>
  <si>
    <t>E — Open codes</t>
  </si>
  <si>
    <t>Initial open-code labels. A row can contain more than one label, separated by commas.</t>
  </si>
  <si>
    <t>F — Intial Code</t>
  </si>
  <si>
    <t>G — Codes after peer debriefing</t>
  </si>
  <si>
    <t>H — Retained initial code</t>
  </si>
  <si>
    <t>J:L — Summary area</t>
  </si>
  <si>
    <t>J3:K4 contains calculation checks. J6:L11 lists final theme-assignment counts and the corresponding initial theme names.</t>
  </si>
  <si>
    <t>Peer-debriefing changes</t>
  </si>
  <si>
    <t>Unchanged rows</t>
  </si>
  <si>
    <t>104 rows retained their initial theme assignments.</t>
  </si>
  <si>
    <t>Additional assignments</t>
  </si>
  <si>
    <t>14 rows received additional theme assignments while retaining their initial assignments.</t>
  </si>
  <si>
    <t>Reassignments</t>
  </si>
  <si>
    <t>2 rows had an initial theme replaced by another theme.</t>
  </si>
  <si>
    <t>Partial removal</t>
  </si>
  <si>
    <t>1 row lost one theme assignment while retaining another.</t>
  </si>
  <si>
    <t>Exclusions</t>
  </si>
  <si>
    <t>2 rows have no final theme assignment (none).</t>
  </si>
  <si>
    <t>Reconciliation</t>
  </si>
  <si>
    <t>104 unchanged + 14 additions + 2 reassignments + 1 partial removal + 2 exclusions = 123 coding rows.</t>
  </si>
  <si>
    <t>35 final coding-row assignments.</t>
  </si>
  <si>
    <t>Safety insights</t>
  </si>
  <si>
    <t>12 final coding-row assignments; shown as Safe insights in the quotations-sheet summary.</t>
  </si>
  <si>
    <t>49 final coding-row assignments.</t>
  </si>
  <si>
    <t>33 final coding-row assignments.</t>
  </si>
  <si>
    <t>29 final coding-row assignments.</t>
  </si>
  <si>
    <t>Text recorded for the excerpt. Exact stored text (translated from hebrew) is used for the distinct-text count.</t>
  </si>
  <si>
    <t xml:space="preserve">Initial higher-level theme assignments. </t>
  </si>
  <si>
    <t xml:space="preserve">Final higher-level theme assignments. </t>
  </si>
  <si>
    <t xml:space="preserve">Row-level comparison: 1 when the initial and final label strings match after Excel TRIM, and 0 otherwise. </t>
  </si>
  <si>
    <t>The “Final coding-row assignments” summary uses rephrased theme names to align with the manuscript, while column G preserves the labels recorded after peer debriefing. For example, “Human oversight modes” is presented as “Oversight spectrum,” and “Trust and control” as “Trust enablers.” These terminology changes do not alter the underlying coding assignments or their counts.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</si>
</sst>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Arial"/>
      <family val="2"/>
      <scheme val="minor"/>
    </font>
    <font>
      <sz val="11"/>
      <color rgb="FFFF0000"/>
      <name val="Arial"/>
      <family val="2"/>
      <scheme val="minor"/>
    </font>
    <font>
      <b/>
      <sz val="11"/>
      <color theme="1"/>
      <name val="Times New Roman"/>
      <family val="1"/>
    </font>
    <font>
      <sz val="11"/>
      <color theme="1"/>
      <name val="Times New Roman"/>
      <family val="1"/>
    </font>
    <font>
      <b/>
      <sz val="11"/>
      <color rgb="FF243746"/>
      <name val="Arial"/>
      <family val="2"/>
      <scheme val="minor"/>
    </font>
    <font>
      <sz val="11"/>
      <color rgb="FF243746"/>
      <name val="Arial"/>
      <family val="2"/>
      <scheme val="minor"/>
    </font>
    <font>
      <b/>
      <sz val="11"/>
      <color rgb="FFFFFFFF"/>
      <name val="Arial"/>
      <family val="2"/>
      <scheme val="minor"/>
    </font>
    <font>
      <b/>
      <sz val="11"/>
      <color rgb="FF36576D"/>
      <name val="Arial"/>
    </font>
    <font>
      <b/>
      <sz val="11"/>
      <color rgb="FF36576D"/>
      <name val="Arial"/>
      <family val="2"/>
    </font>
    <font>
      <sz val="10"/>
      <color theme="1"/>
      <name val="Arial Unicode MS"/>
    </font>
    <font>
      <b/>
      <sz val="15"/>
      <color rgb="FF28485E"/>
      <name val="Arial"/>
      <family val="1"/>
    </font>
    <font>
      <sz val="11"/>
      <color rgb="FF233747"/>
      <name val="Arial"/>
      <family val="2"/>
      <scheme val="minor"/>
    </font>
    <font>
      <b/>
      <sz val="11"/>
      <color rgb="FF233747"/>
      <name val="Arial"/>
      <family val="1"/>
    </font>
    <font>
      <sz val="11"/>
      <color rgb="FF233747"/>
      <name val="Arial"/>
      <family val="1"/>
    </font>
    <font>
      <b/>
      <sz val="11"/>
      <color rgb="FF28485E"/>
      <name val="Arial"/>
      <family val="2"/>
      <scheme val="minor"/>
    </font>
  </fonts>
  <fills count="6">
    <fill>
      <patternFill patternType="none"/>
    </fill>
    <fill>
      <patternFill patternType="gray125"/>
    </fill>
    <fill>
      <patternFill patternType="solid">
        <fgColor rgb="FF28485E"/>
      </patternFill>
    </fill>
    <fill>
      <patternFill patternType="solid">
        <fgColor rgb="FFF0F4F7"/>
      </patternFill>
    </fill>
    <fill>
      <patternFill patternType="solid">
        <fgColor rgb="FFFFFFFF"/>
      </patternFill>
    </fill>
    <fill>
      <patternFill patternType="solid">
        <fgColor rgb="FFF1F5F8"/>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theme="4" tint="0.39997558519241921"/>
      </left>
      <right/>
      <top style="thin">
        <color theme="4" tint="0.39997558519241921"/>
      </top>
      <bottom style="thin">
        <color theme="4" tint="0.39997558519241921"/>
      </bottom>
      <diagonal/>
    </border>
    <border>
      <left style="thin">
        <color auto="1"/>
      </left>
      <right style="thin">
        <color auto="1"/>
      </right>
      <top style="thin">
        <color auto="1"/>
      </top>
      <bottom style="thin">
        <color rgb="FFD8E1E8"/>
      </bottom>
      <diagonal/>
    </border>
    <border>
      <left style="thin">
        <color auto="1"/>
      </left>
      <right style="thin">
        <color auto="1"/>
      </right>
      <top style="thin">
        <color rgb="FFD8E1E8"/>
      </top>
      <bottom style="thin">
        <color rgb="FFD8E1E8"/>
      </bottom>
      <diagonal/>
    </border>
    <border>
      <left style="thin">
        <color auto="1"/>
      </left>
      <right style="thin">
        <color auto="1"/>
      </right>
      <top style="thin">
        <color rgb="FFD8E1E8"/>
      </top>
      <bottom style="thin">
        <color auto="1"/>
      </bottom>
      <diagonal/>
    </border>
  </borders>
  <cellStyleXfs count="1">
    <xf numFmtId="0" fontId="0" fillId="0" borderId="0"/>
  </cellStyleXfs>
  <cellXfs count="36">
    <xf numFmtId="0" fontId="0" fillId="0" borderId="0" xfId="0"/>
    <xf numFmtId="0" fontId="0" fillId="0" borderId="0" xfId="0" applyAlignment="1">
      <alignment wrapText="1"/>
    </xf>
    <xf numFmtId="0" fontId="5" fillId="0" borderId="0" xfId="0" applyFont="1" applyAlignment="1">
      <alignment vertical="top" wrapText="1"/>
    </xf>
    <xf numFmtId="0" fontId="6" fillId="2" borderId="3" xfId="0" applyFont="1" applyFill="1" applyBorder="1" applyAlignment="1">
      <alignment horizontal="center" vertical="center" wrapText="1"/>
    </xf>
    <xf numFmtId="0" fontId="6" fillId="2" borderId="0" xfId="0" applyFont="1" applyFill="1" applyAlignment="1">
      <alignment horizontal="center" vertical="center" wrapText="1"/>
    </xf>
    <xf numFmtId="0" fontId="5" fillId="3" borderId="0" xfId="0" applyFont="1" applyFill="1" applyAlignment="1">
      <alignment vertical="top" wrapText="1"/>
    </xf>
    <xf numFmtId="0" fontId="5" fillId="4" borderId="0" xfId="0" applyFont="1" applyFill="1" applyAlignment="1">
      <alignment vertical="top" wrapText="1"/>
    </xf>
    <xf numFmtId="0" fontId="5" fillId="3" borderId="2" xfId="0" applyFont="1" applyFill="1" applyBorder="1" applyAlignment="1">
      <alignment vertical="top" wrapText="1"/>
    </xf>
    <xf numFmtId="0" fontId="5" fillId="4" borderId="1" xfId="0" applyFont="1" applyFill="1" applyBorder="1" applyAlignment="1">
      <alignment vertical="top" wrapText="1"/>
    </xf>
    <xf numFmtId="0" fontId="5" fillId="3" borderId="1" xfId="0" applyFont="1" applyFill="1" applyBorder="1" applyAlignment="1">
      <alignment vertical="top" wrapText="1"/>
    </xf>
    <xf numFmtId="0" fontId="7" fillId="3" borderId="0" xfId="0" applyFont="1" applyFill="1" applyAlignment="1">
      <alignment vertical="top" wrapText="1"/>
    </xf>
    <xf numFmtId="0" fontId="7" fillId="4" borderId="0" xfId="0" applyFont="1" applyFill="1" applyAlignment="1">
      <alignment vertical="top" wrapText="1"/>
    </xf>
    <xf numFmtId="0" fontId="6" fillId="2" borderId="4" xfId="0" applyFont="1" applyFill="1" applyBorder="1" applyAlignment="1">
      <alignment horizontal="center" vertical="top" wrapText="1"/>
    </xf>
    <xf numFmtId="0" fontId="5" fillId="3" borderId="5" xfId="0" applyFont="1" applyFill="1" applyBorder="1" applyAlignment="1">
      <alignment vertical="top" wrapText="1"/>
    </xf>
    <xf numFmtId="0" fontId="5" fillId="4" borderId="5" xfId="0" applyFont="1" applyFill="1" applyBorder="1" applyAlignment="1">
      <alignment vertical="top" wrapText="1"/>
    </xf>
    <xf numFmtId="0" fontId="5" fillId="3" borderId="6" xfId="0" applyFont="1" applyFill="1" applyBorder="1" applyAlignment="1">
      <alignment vertical="top" wrapText="1"/>
    </xf>
    <xf numFmtId="1" fontId="5" fillId="3" borderId="5" xfId="0" applyNumberFormat="1" applyFont="1" applyFill="1" applyBorder="1" applyAlignment="1">
      <alignment horizontal="right" vertical="top" wrapText="1"/>
    </xf>
    <xf numFmtId="1" fontId="5" fillId="4" borderId="5" xfId="0" applyNumberFormat="1" applyFont="1" applyFill="1" applyBorder="1" applyAlignment="1">
      <alignment horizontal="right" vertical="top" wrapText="1"/>
    </xf>
    <xf numFmtId="1" fontId="5" fillId="3" borderId="6" xfId="0" applyNumberFormat="1" applyFont="1" applyFill="1" applyBorder="1" applyAlignment="1">
      <alignment horizontal="right" vertical="top" wrapText="1"/>
    </xf>
    <xf numFmtId="0" fontId="8" fillId="3" borderId="0" xfId="0" applyFont="1" applyFill="1" applyAlignment="1">
      <alignment vertical="top" wrapText="1"/>
    </xf>
    <xf numFmtId="0" fontId="8" fillId="4" borderId="0" xfId="0" applyFont="1" applyFill="1" applyAlignment="1">
      <alignment vertical="top" wrapText="1"/>
    </xf>
    <xf numFmtId="0" fontId="9" fillId="0" borderId="1" xfId="0" applyFont="1" applyBorder="1" applyAlignment="1">
      <alignment vertical="center"/>
    </xf>
    <xf numFmtId="0" fontId="5" fillId="0" borderId="1" xfId="0" applyFont="1" applyBorder="1" applyAlignment="1">
      <alignment vertical="center" wrapText="1"/>
    </xf>
    <xf numFmtId="0" fontId="4" fillId="0" borderId="1" xfId="0" applyFont="1" applyBorder="1" applyAlignment="1">
      <alignment vertical="center" wrapText="1"/>
    </xf>
    <xf numFmtId="0" fontId="5" fillId="3" borderId="0" xfId="0" applyFont="1" applyFill="1" applyBorder="1" applyAlignment="1">
      <alignment vertical="top" wrapText="1"/>
    </xf>
    <xf numFmtId="0" fontId="5" fillId="4" borderId="0" xfId="0" applyFont="1" applyFill="1" applyBorder="1" applyAlignment="1">
      <alignment vertical="top" wrapText="1"/>
    </xf>
    <xf numFmtId="0" fontId="10" fillId="0" borderId="0" xfId="0" applyFont="1" applyAlignment="1">
      <alignment horizontal="left" vertical="top" wrapText="1"/>
    </xf>
    <xf numFmtId="0" fontId="11" fillId="0" borderId="0" xfId="0" applyFont="1" applyAlignment="1">
      <alignment vertical="top" wrapText="1"/>
    </xf>
    <xf numFmtId="0" fontId="12" fillId="0" borderId="0" xfId="0" applyFont="1" applyAlignment="1">
      <alignment horizontal="left" vertical="top" wrapText="1"/>
    </xf>
    <xf numFmtId="0" fontId="13" fillId="0" borderId="0" xfId="0" applyFont="1" applyAlignment="1">
      <alignment horizontal="left" vertical="top" wrapText="1"/>
    </xf>
    <xf numFmtId="0" fontId="11" fillId="0" borderId="0" xfId="0" applyFont="1" applyAlignment="1">
      <alignment vertical="top" wrapText="1"/>
    </xf>
    <xf numFmtId="0" fontId="6" fillId="2" borderId="0" xfId="0" applyFont="1" applyFill="1" applyAlignment="1">
      <alignment vertical="top" wrapText="1"/>
    </xf>
    <xf numFmtId="0" fontId="14" fillId="5" borderId="0" xfId="0" applyFont="1" applyFill="1" applyAlignment="1">
      <alignment vertical="top" wrapText="1"/>
    </xf>
    <xf numFmtId="0" fontId="11" fillId="5" borderId="0" xfId="0" applyFont="1" applyFill="1" applyAlignment="1">
      <alignment vertical="top" wrapText="1"/>
    </xf>
    <xf numFmtId="0" fontId="14" fillId="4" borderId="0" xfId="0" applyFont="1" applyFill="1" applyAlignment="1">
      <alignment vertical="top" wrapText="1"/>
    </xf>
    <xf numFmtId="0" fontId="11" fillId="4" borderId="0" xfId="0" applyFont="1" applyFill="1" applyAlignment="1">
      <alignment vertical="top" wrapText="1"/>
    </xf>
  </cellXfs>
  <cellStyles count="1">
    <cellStyle name="Normal" xfId="0" builtinId="0"/>
  </cellStyles>
  <dxfs count="2">
    <dxf>
      <font>
        <b val="0"/>
        <i val="0"/>
        <strike val="0"/>
        <condense val="0"/>
        <extend val="0"/>
        <outline val="0"/>
        <shadow val="0"/>
        <u val="none"/>
        <vertAlign val="baseline"/>
        <sz val="11"/>
        <color rgb="FF243746"/>
        <name val="Arial"/>
        <family val="2"/>
        <scheme val="minor"/>
      </font>
      <numFmt numFmtId="0" formatCode="General"/>
      <fill>
        <patternFill patternType="solid">
          <fgColor indexed="64"/>
          <bgColor rgb="FFF0F4F7"/>
        </patternFill>
      </fill>
      <alignment horizontal="general" vertical="top" textRotation="0" wrapText="1" indent="0" justifyLastLine="0" shrinkToFit="0" readingOrder="0"/>
    </dxf>
    <dxf>
      <alignment textRotation="0" wrapText="1"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360"/>
      <c:depthPercent val="100"/>
      <c:rAngAx val="0"/>
    </c:view3D>
    <c:floor>
      <c:thickness val="0"/>
    </c:floor>
    <c:sideWall>
      <c:thickness val="0"/>
    </c:sideWall>
    <c:backWall>
      <c:thickness val="0"/>
    </c:backWall>
    <c:plotArea>
      <c:layout/>
      <c:pie3DChart>
        <c:varyColors val="1"/>
        <c:ser>
          <c:idx val="0"/>
          <c:order val="0"/>
          <c:tx>
            <c:strRef>
              <c:f>quotations!$L$6</c:f>
              <c:strCache>
                <c:ptCount val="1"/>
                <c:pt idx="0">
                  <c:v># codes</c:v>
                </c:pt>
              </c:strCache>
            </c:strRef>
          </c:tx>
          <c:dPt>
            <c:idx val="0"/>
            <c:bubble3D val="0"/>
            <c:spPr>
              <a:solidFill>
                <a:schemeClr val="accent1"/>
              </a:solidFill>
              <a:ln w="9525">
                <a:noFill/>
              </a:ln>
              <a:effectLst>
                <a:outerShdw blurRad="88900" sx="102000" sy="102000" algn="ctr" rotWithShape="0">
                  <a:prstClr val="black">
                    <a:alpha val="10000"/>
                  </a:prstClr>
                </a:outerShdw>
              </a:effectLst>
            </c:spPr>
            <c:extLst>
              <c:ext xmlns:c16="http://schemas.microsoft.com/office/drawing/2014/chart" uri="{C3380CC4-5D6E-409C-BE32-E72D297353CC}">
                <c16:uniqueId val="{00000001-0EB9-4FC9-91FC-84A8E4278C53}"/>
              </c:ext>
            </c:extLst>
          </c:dPt>
          <c:dPt>
            <c:idx val="1"/>
            <c:bubble3D val="0"/>
            <c:spPr>
              <a:solidFill>
                <a:schemeClr val="accent2"/>
              </a:solidFill>
              <a:ln w="9525">
                <a:noFill/>
              </a:ln>
              <a:effectLst>
                <a:outerShdw blurRad="88900" sx="102000" sy="102000" algn="ctr" rotWithShape="0">
                  <a:prstClr val="black">
                    <a:alpha val="10000"/>
                  </a:prstClr>
                </a:outerShdw>
              </a:effectLst>
            </c:spPr>
            <c:extLst>
              <c:ext xmlns:c16="http://schemas.microsoft.com/office/drawing/2014/chart" uri="{C3380CC4-5D6E-409C-BE32-E72D297353CC}">
                <c16:uniqueId val="{00000003-0EB9-4FC9-91FC-84A8E4278C53}"/>
              </c:ext>
            </c:extLst>
          </c:dPt>
          <c:dPt>
            <c:idx val="2"/>
            <c:bubble3D val="0"/>
            <c:spPr>
              <a:solidFill>
                <a:schemeClr val="accent3"/>
              </a:solidFill>
              <a:ln w="9525">
                <a:noFill/>
              </a:ln>
              <a:effectLst>
                <a:outerShdw blurRad="88900" sx="102000" sy="102000" algn="ctr" rotWithShape="0">
                  <a:prstClr val="black">
                    <a:alpha val="10000"/>
                  </a:prstClr>
                </a:outerShdw>
              </a:effectLst>
            </c:spPr>
            <c:extLst>
              <c:ext xmlns:c16="http://schemas.microsoft.com/office/drawing/2014/chart" uri="{C3380CC4-5D6E-409C-BE32-E72D297353CC}">
                <c16:uniqueId val="{00000005-0EB9-4FC9-91FC-84A8E4278C53}"/>
              </c:ext>
            </c:extLst>
          </c:dPt>
          <c:dPt>
            <c:idx val="3"/>
            <c:bubble3D val="0"/>
            <c:spPr>
              <a:solidFill>
                <a:schemeClr val="accent4"/>
              </a:solidFill>
              <a:ln w="9525">
                <a:noFill/>
              </a:ln>
              <a:effectLst>
                <a:outerShdw blurRad="88900" sx="102000" sy="102000" algn="ctr" rotWithShape="0">
                  <a:prstClr val="black">
                    <a:alpha val="10000"/>
                  </a:prstClr>
                </a:outerShdw>
              </a:effectLst>
            </c:spPr>
            <c:extLst>
              <c:ext xmlns:c16="http://schemas.microsoft.com/office/drawing/2014/chart" uri="{C3380CC4-5D6E-409C-BE32-E72D297353CC}">
                <c16:uniqueId val="{00000007-0EB9-4FC9-91FC-84A8E4278C53}"/>
              </c:ext>
            </c:extLst>
          </c:dPt>
          <c:dPt>
            <c:idx val="4"/>
            <c:bubble3D val="0"/>
            <c:spPr>
              <a:solidFill>
                <a:schemeClr val="accent5"/>
              </a:solidFill>
              <a:ln w="9525">
                <a:noFill/>
              </a:ln>
              <a:effectLst>
                <a:outerShdw blurRad="88900" sx="102000" sy="102000" algn="ctr" rotWithShape="0">
                  <a:prstClr val="black">
                    <a:alpha val="10000"/>
                  </a:prstClr>
                </a:outerShdw>
              </a:effectLst>
            </c:spPr>
            <c:extLst>
              <c:ext xmlns:c16="http://schemas.microsoft.com/office/drawing/2014/chart" uri="{C3380CC4-5D6E-409C-BE32-E72D297353CC}">
                <c16:uniqueId val="{00000009-0EB9-4FC9-91FC-84A8E4278C53}"/>
              </c:ext>
            </c:extLst>
          </c:dPt>
          <c:dLbls>
            <c:dLbl>
              <c:idx val="1"/>
              <c:layout>
                <c:manualLayout>
                  <c:x val="0"/>
                  <c:y val="-0.10575"/>
                </c:manualLayout>
              </c:layout>
              <c:spPr>
                <a:noFill/>
                <a:ln w="9525">
                  <a:noFill/>
                </a:ln>
              </c:spPr>
              <c:txPr>
                <a:bodyPr anchorCtr="1"/>
                <a:lstStyle/>
                <a:p>
                  <a:pPr>
                    <a:defRPr sz="1200" b="1" i="0" u="none" strike="noStrike" kern="1200" spc="0" baseline="0">
                      <a:solidFill>
                        <a:schemeClr val="accent2"/>
                      </a:solidFill>
                      <a:latin typeface="+mn-lt"/>
                      <a:ea typeface="+mn-lt"/>
                      <a:cs typeface="+mn-lt"/>
                    </a:defRPr>
                  </a:pPr>
                  <a:endParaRPr lang="he-IL"/>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EB9-4FC9-91FC-84A8E4278C53}"/>
                </c:ext>
              </c:extLst>
            </c:dLbl>
            <c:dLbl>
              <c:idx val="2"/>
              <c:spPr>
                <a:noFill/>
                <a:ln w="9525">
                  <a:noFill/>
                </a:ln>
              </c:spPr>
              <c:txPr>
                <a:bodyPr anchorCtr="1"/>
                <a:lstStyle/>
                <a:p>
                  <a:pPr>
                    <a:defRPr sz="1200" b="1" i="0" u="none" strike="noStrike" kern="1200" spc="0" baseline="0">
                      <a:solidFill>
                        <a:schemeClr val="accent3"/>
                      </a:solidFill>
                      <a:latin typeface="+mn-lt"/>
                      <a:ea typeface="+mn-lt"/>
                      <a:cs typeface="+mn-lt"/>
                    </a:defRPr>
                  </a:pPr>
                  <a:endParaRPr lang="he-IL"/>
                </a:p>
              </c:txPr>
              <c:dLblPos val="outEnd"/>
              <c:showLegendKey val="0"/>
              <c:showVal val="1"/>
              <c:showCatName val="1"/>
              <c:showSerName val="0"/>
              <c:showPercent val="0"/>
              <c:showBubbleSize val="0"/>
              <c:extLst>
                <c:ext xmlns:c16="http://schemas.microsoft.com/office/drawing/2014/chart" uri="{C3380CC4-5D6E-409C-BE32-E72D297353CC}">
                  <c16:uniqueId val="{00000005-0EB9-4FC9-91FC-84A8E4278C53}"/>
                </c:ext>
              </c:extLst>
            </c:dLbl>
            <c:dLbl>
              <c:idx val="3"/>
              <c:layout>
                <c:manualLayout>
                  <c:x val="5.0000000000000001E-3"/>
                  <c:y val="6.4500000000000002E-2"/>
                </c:manualLayout>
              </c:layout>
              <c:spPr>
                <a:noFill/>
                <a:ln w="9525">
                  <a:noFill/>
                </a:ln>
              </c:spPr>
              <c:txPr>
                <a:bodyPr anchorCtr="1"/>
                <a:lstStyle/>
                <a:p>
                  <a:pPr>
                    <a:defRPr sz="1200" b="1" i="0" u="none" strike="noStrike" kern="1200" spc="0" baseline="0">
                      <a:solidFill>
                        <a:schemeClr val="accent4"/>
                      </a:solidFill>
                      <a:latin typeface="+mn-lt"/>
                      <a:ea typeface="+mn-lt"/>
                      <a:cs typeface="+mn-lt"/>
                    </a:defRPr>
                  </a:pPr>
                  <a:endParaRPr lang="he-IL"/>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EB9-4FC9-91FC-84A8E4278C53}"/>
                </c:ext>
              </c:extLst>
            </c:dLbl>
            <c:dLbl>
              <c:idx val="4"/>
              <c:spPr>
                <a:noFill/>
                <a:ln w="9525">
                  <a:noFill/>
                </a:ln>
              </c:spPr>
              <c:txPr>
                <a:bodyPr anchorCtr="1"/>
                <a:lstStyle/>
                <a:p>
                  <a:pPr>
                    <a:defRPr sz="1200" b="1" i="0" u="none" strike="noStrike" kern="1200" spc="0" baseline="0">
                      <a:solidFill>
                        <a:schemeClr val="accent5"/>
                      </a:solidFill>
                      <a:latin typeface="+mn-lt"/>
                      <a:ea typeface="+mn-lt"/>
                      <a:cs typeface="+mn-lt"/>
                    </a:defRPr>
                  </a:pPr>
                  <a:endParaRPr lang="he-IL"/>
                </a:p>
              </c:txPr>
              <c:dLblPos val="outEnd"/>
              <c:showLegendKey val="0"/>
              <c:showVal val="1"/>
              <c:showCatName val="1"/>
              <c:showSerName val="0"/>
              <c:showPercent val="0"/>
              <c:showBubbleSize val="0"/>
              <c:extLst>
                <c:ext xmlns:c16="http://schemas.microsoft.com/office/drawing/2014/chart" uri="{C3380CC4-5D6E-409C-BE32-E72D297353CC}">
                  <c16:uniqueId val="{00000009-0EB9-4FC9-91FC-84A8E4278C53}"/>
                </c:ext>
              </c:extLst>
            </c:dLbl>
            <c:spPr>
              <a:noFill/>
              <a:ln w="9525">
                <a:noFill/>
              </a:ln>
            </c:spPr>
            <c:txPr>
              <a:bodyPr anchorCtr="1"/>
              <a:lstStyle/>
              <a:p>
                <a:pPr>
                  <a:defRPr sz="1200" b="1" i="0" u="none" strike="noStrike" kern="1200" spc="0" baseline="0">
                    <a:solidFill>
                      <a:schemeClr val="accent1"/>
                    </a:solidFill>
                    <a:latin typeface="+mn-lt"/>
                    <a:ea typeface="+mn-lt"/>
                    <a:cs typeface="+mn-lt"/>
                  </a:defRPr>
                </a:pPr>
                <a:endParaRPr lang="he-IL"/>
              </a:p>
            </c:txPr>
            <c:dLblPos val="outEnd"/>
            <c:showLegendKey val="0"/>
            <c:showVal val="1"/>
            <c:showCatName val="1"/>
            <c:showSerName val="0"/>
            <c:showPercent val="0"/>
            <c:showBubbleSize val="0"/>
            <c:showLeaderLines val="1"/>
            <c:leaderLines>
              <c:spPr>
                <a:ln w="9525" cmpd="sng">
                  <a:solidFill>
                    <a:schemeClr val="tx1">
                      <a:lumMod val="35000"/>
                      <a:lumOff val="65000"/>
                    </a:schemeClr>
                  </a:solidFill>
                </a:ln>
              </c:spPr>
            </c:leaderLines>
            <c:extLst>
              <c:ext xmlns:c15="http://schemas.microsoft.com/office/drawing/2012/chart" uri="{CE6537A1-D6FC-4f65-9D91-7224C49458BB}"/>
            </c:extLst>
          </c:dLbls>
          <c:cat>
            <c:strRef>
              <c:f>quotations!$J$7:$J$11</c:f>
              <c:strCache>
                <c:ptCount val="5"/>
                <c:pt idx="0">
                  <c:v>Oversight spectrum</c:v>
                </c:pt>
                <c:pt idx="1">
                  <c:v>Safety insights</c:v>
                </c:pt>
                <c:pt idx="2">
                  <c:v>Explainability necessity</c:v>
                </c:pt>
                <c:pt idx="3">
                  <c:v>Trust enablers</c:v>
                </c:pt>
                <c:pt idx="4">
                  <c:v>Feedback and monitoring</c:v>
                </c:pt>
              </c:strCache>
            </c:strRef>
          </c:cat>
          <c:val>
            <c:numRef>
              <c:f>quotations!$L$7:$L$11</c:f>
              <c:numCache>
                <c:formatCode>0</c:formatCode>
                <c:ptCount val="5"/>
                <c:pt idx="0">
                  <c:v>35</c:v>
                </c:pt>
                <c:pt idx="1">
                  <c:v>12</c:v>
                </c:pt>
                <c:pt idx="2">
                  <c:v>49</c:v>
                </c:pt>
                <c:pt idx="3">
                  <c:v>33</c:v>
                </c:pt>
                <c:pt idx="4">
                  <c:v>29</c:v>
                </c:pt>
              </c:numCache>
            </c:numRef>
          </c:val>
          <c:extLst>
            <c:ext xmlns:c16="http://schemas.microsoft.com/office/drawing/2014/chart" uri="{C3380CC4-5D6E-409C-BE32-E72D297353CC}">
              <c16:uniqueId val="{0000000A-0EB9-4FC9-91FC-84A8E4278C53}"/>
            </c:ext>
          </c:extLst>
        </c:ser>
        <c:dLbls>
          <c:showLegendKey val="0"/>
          <c:showVal val="0"/>
          <c:showCatName val="0"/>
          <c:showSerName val="0"/>
          <c:showPercent val="1"/>
          <c:showBubbleSize val="0"/>
          <c:showLeaderLines val="1"/>
        </c:dLbls>
      </c:pie3DChart>
      <c:spPr>
        <a:noFill/>
        <a:ln w="9525">
          <a:noFill/>
        </a:ln>
      </c:spPr>
    </c:plotArea>
    <c:plotVisOnly val="1"/>
    <c:dispBlanksAs val="gap"/>
    <c:showDLblsOverMax val="1"/>
  </c:chart>
  <c:spPr>
    <a:solidFill>
      <a:schemeClr val="bg1"/>
    </a:solidFill>
    <a:ln w="9525" cmpd="sng">
      <a:solidFill>
        <a:schemeClr val="tx1">
          <a:lumMod val="15000"/>
          <a:lumOff val="85000"/>
        </a:schemeClr>
      </a:solid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1903412</xdr:colOff>
      <xdr:row>11</xdr:row>
      <xdr:rowOff>322262</xdr:rowOff>
    </xdr:from>
    <xdr:to>
      <xdr:col>17</xdr:col>
      <xdr:colOff>219075</xdr:colOff>
      <xdr:row>22</xdr:row>
      <xdr:rowOff>236537</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H124" totalsRowShown="0">
  <autoFilter ref="A1:H124" xr:uid="{00000000-0009-0000-0100-000001000000}"/>
  <tableColumns count="8">
    <tableColumn id="1" xr3:uid="{00000000-0010-0000-0000-000001000000}" name="Quotation ID"/>
    <tableColumn id="2" xr3:uid="{00000000-0010-0000-0000-000002000000}" name="Source interview ID"/>
    <tableColumn id="3" xr3:uid="{00000000-0010-0000-0000-000003000000}" name="Excerpt text" dataDxfId="1"/>
    <tableColumn id="4" xr3:uid="{00000000-0010-0000-0000-000004000000}" name="Notes"/>
    <tableColumn id="5" xr3:uid="{00000000-0010-0000-0000-000005000000}" name="Open codes"/>
    <tableColumn id="6" xr3:uid="{00000000-0010-0000-0000-000006000000}" name="Intial Code"/>
    <tableColumn id="7" xr3:uid="{00000000-0010-0000-0000-000007000000}" name="Codes after peer debriefing"/>
    <tableColumn id="8" xr3:uid="{40C57615-C0E5-4BB4-AFB8-7ACF62A7306D}" name="Retained initial code" dataDxfId="0">
      <calculatedColumnFormula>IF(TRIM(F2)=TRIM(G2),1,0)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7"/>
  <sheetViews>
    <sheetView showGridLines="0" topLeftCell="A14" workbookViewId="0">
      <selection activeCell="B53" sqref="B53"/>
    </sheetView>
  </sheetViews>
  <sheetFormatPr defaultRowHeight="14"/>
  <cols>
    <col min="1" max="1" width="26.6640625" customWidth="1"/>
    <col min="2" max="2" width="87.75" customWidth="1"/>
  </cols>
  <sheetData>
    <row r="1" spans="1:2" ht="35" customHeight="1">
      <c r="A1" s="26" t="s">
        <v>0</v>
      </c>
      <c r="B1" s="27"/>
    </row>
    <row r="2" spans="1:2" ht="38" customHeight="1">
      <c r="A2" s="28" t="s">
        <v>459</v>
      </c>
      <c r="B2" s="27"/>
    </row>
    <row r="3" spans="1:2" ht="25" customHeight="1">
      <c r="A3" s="28" t="s">
        <v>1</v>
      </c>
      <c r="B3" s="27"/>
    </row>
    <row r="4" spans="1:2" ht="25" customHeight="1">
      <c r="A4" s="28" t="s">
        <v>2</v>
      </c>
      <c r="B4" s="27"/>
    </row>
    <row r="5" spans="1:2" ht="25" customHeight="1">
      <c r="A5" s="28" t="s">
        <v>3</v>
      </c>
      <c r="B5" s="27"/>
    </row>
    <row r="6" spans="1:2" ht="25" customHeight="1">
      <c r="A6" s="29" t="s">
        <v>4</v>
      </c>
      <c r="B6" s="27"/>
    </row>
    <row r="7" spans="1:2" ht="25" customHeight="1">
      <c r="A7" s="29" t="s">
        <v>5</v>
      </c>
      <c r="B7" s="27"/>
    </row>
    <row r="8" spans="1:2" ht="25" customHeight="1">
      <c r="A8" s="28" t="s">
        <v>6</v>
      </c>
      <c r="B8" s="27"/>
    </row>
    <row r="9" spans="1:2">
      <c r="A9" s="30"/>
      <c r="B9" s="30"/>
    </row>
    <row r="10" spans="1:2" ht="25" customHeight="1">
      <c r="A10" s="31" t="s">
        <v>460</v>
      </c>
      <c r="B10" s="31"/>
    </row>
    <row r="11" spans="1:2" ht="44" customHeight="1">
      <c r="A11" s="32" t="s">
        <v>461</v>
      </c>
      <c r="B11" s="33" t="s">
        <v>462</v>
      </c>
    </row>
    <row r="12" spans="1:2" ht="44" customHeight="1">
      <c r="A12" s="34" t="s">
        <v>463</v>
      </c>
      <c r="B12" s="35" t="s">
        <v>464</v>
      </c>
    </row>
    <row r="13" spans="1:2" ht="34" customHeight="1">
      <c r="A13" s="32" t="s">
        <v>456</v>
      </c>
      <c r="B13" s="33" t="s">
        <v>465</v>
      </c>
    </row>
    <row r="14" spans="1:2" ht="44" customHeight="1">
      <c r="A14" s="34" t="s">
        <v>466</v>
      </c>
      <c r="B14" s="35" t="s">
        <v>467</v>
      </c>
    </row>
    <row r="15" spans="1:2" ht="34" customHeight="1">
      <c r="A15" s="32" t="s">
        <v>468</v>
      </c>
      <c r="B15" s="33" t="s">
        <v>469</v>
      </c>
    </row>
    <row r="16" spans="1:2" ht="44" customHeight="1">
      <c r="A16" s="34" t="s">
        <v>470</v>
      </c>
      <c r="B16" s="35" t="s">
        <v>471</v>
      </c>
    </row>
    <row r="17" spans="1:2" ht="56">
      <c r="A17" s="34" t="s">
        <v>36</v>
      </c>
      <c r="B17" s="30" t="s">
        <v>510</v>
      </c>
    </row>
    <row r="18" spans="1:2">
      <c r="A18" s="30"/>
      <c r="B18" s="30"/>
    </row>
    <row r="19" spans="1:2" ht="25" customHeight="1">
      <c r="A19" s="31" t="s">
        <v>472</v>
      </c>
      <c r="B19" s="31"/>
    </row>
    <row r="20" spans="1:2" ht="44" customHeight="1">
      <c r="A20" s="32" t="s">
        <v>473</v>
      </c>
      <c r="B20" s="33" t="s">
        <v>474</v>
      </c>
    </row>
    <row r="21" spans="1:2" ht="44" customHeight="1">
      <c r="A21" s="34" t="s">
        <v>475</v>
      </c>
      <c r="B21" s="35" t="s">
        <v>476</v>
      </c>
    </row>
    <row r="22" spans="1:2" ht="34" customHeight="1">
      <c r="A22" s="32" t="s">
        <v>477</v>
      </c>
      <c r="B22" s="33" t="s">
        <v>506</v>
      </c>
    </row>
    <row r="23" spans="1:2" ht="34" customHeight="1">
      <c r="A23" s="34" t="s">
        <v>478</v>
      </c>
      <c r="B23" s="35" t="s">
        <v>479</v>
      </c>
    </row>
    <row r="24" spans="1:2" ht="34" customHeight="1">
      <c r="A24" s="32" t="s">
        <v>480</v>
      </c>
      <c r="B24" s="33" t="s">
        <v>481</v>
      </c>
    </row>
    <row r="25" spans="1:2" ht="34" customHeight="1">
      <c r="A25" s="34" t="s">
        <v>482</v>
      </c>
      <c r="B25" s="35" t="s">
        <v>507</v>
      </c>
    </row>
    <row r="26" spans="1:2" ht="34" customHeight="1">
      <c r="A26" s="32" t="s">
        <v>483</v>
      </c>
      <c r="B26" s="33" t="s">
        <v>508</v>
      </c>
    </row>
    <row r="27" spans="1:2" ht="44" customHeight="1">
      <c r="A27" s="34" t="s">
        <v>484</v>
      </c>
      <c r="B27" s="35" t="s">
        <v>509</v>
      </c>
    </row>
    <row r="28" spans="1:2" ht="44" customHeight="1">
      <c r="A28" s="32" t="s">
        <v>485</v>
      </c>
      <c r="B28" s="33" t="s">
        <v>486</v>
      </c>
    </row>
    <row r="29" spans="1:2">
      <c r="A29" s="30"/>
      <c r="B29" s="30"/>
    </row>
    <row r="30" spans="1:2">
      <c r="A30" s="30"/>
      <c r="B30" s="30"/>
    </row>
    <row r="31" spans="1:2" ht="25" customHeight="1">
      <c r="A31" s="31" t="s">
        <v>487</v>
      </c>
      <c r="B31" s="31"/>
    </row>
    <row r="32" spans="1:2" ht="34" customHeight="1">
      <c r="A32" s="32" t="s">
        <v>488</v>
      </c>
      <c r="B32" s="33" t="s">
        <v>489</v>
      </c>
    </row>
    <row r="33" spans="1:2" ht="34" customHeight="1">
      <c r="A33" s="34" t="s">
        <v>490</v>
      </c>
      <c r="B33" s="35" t="s">
        <v>491</v>
      </c>
    </row>
    <row r="34" spans="1:2" ht="34" customHeight="1">
      <c r="A34" s="32" t="s">
        <v>492</v>
      </c>
      <c r="B34" s="33" t="s">
        <v>493</v>
      </c>
    </row>
    <row r="35" spans="1:2" ht="34" customHeight="1">
      <c r="A35" s="34" t="s">
        <v>494</v>
      </c>
      <c r="B35" s="35" t="s">
        <v>495</v>
      </c>
    </row>
    <row r="36" spans="1:2" ht="34" customHeight="1">
      <c r="A36" s="32" t="s">
        <v>496</v>
      </c>
      <c r="B36" s="33" t="s">
        <v>497</v>
      </c>
    </row>
    <row r="37" spans="1:2" ht="34" customHeight="1">
      <c r="A37" s="34" t="s">
        <v>498</v>
      </c>
      <c r="B37" s="35" t="s">
        <v>499</v>
      </c>
    </row>
    <row r="38" spans="1:2">
      <c r="A38" s="30"/>
      <c r="B38" s="30"/>
    </row>
    <row r="39" spans="1:2">
      <c r="A39" s="30"/>
      <c r="B39" s="30"/>
    </row>
    <row r="40" spans="1:2">
      <c r="A40" s="30"/>
      <c r="B40" s="30"/>
    </row>
    <row r="41" spans="1:2" ht="25" customHeight="1">
      <c r="A41" s="31" t="s">
        <v>36</v>
      </c>
      <c r="B41" s="31"/>
    </row>
    <row r="42" spans="1:2" ht="34" customHeight="1">
      <c r="A42" s="34" t="s">
        <v>43</v>
      </c>
      <c r="B42" s="35" t="s">
        <v>500</v>
      </c>
    </row>
    <row r="43" spans="1:2" ht="34" customHeight="1">
      <c r="A43" s="32" t="s">
        <v>501</v>
      </c>
      <c r="B43" s="33" t="s">
        <v>502</v>
      </c>
    </row>
    <row r="44" spans="1:2" ht="34" customHeight="1">
      <c r="A44" s="34" t="s">
        <v>19</v>
      </c>
      <c r="B44" s="35" t="s">
        <v>503</v>
      </c>
    </row>
    <row r="45" spans="1:2" ht="34" customHeight="1">
      <c r="A45" s="32" t="s">
        <v>55</v>
      </c>
      <c r="B45" s="33" t="s">
        <v>504</v>
      </c>
    </row>
    <row r="46" spans="1:2" ht="34" customHeight="1">
      <c r="A46" s="34" t="s">
        <v>62</v>
      </c>
      <c r="B46" s="35" t="s">
        <v>505</v>
      </c>
    </row>
    <row r="47" spans="1:2">
      <c r="A47" s="30"/>
      <c r="B47" s="30"/>
    </row>
  </sheetData>
  <mergeCells count="12">
    <mergeCell ref="A7:B7"/>
    <mergeCell ref="A8:B8"/>
    <mergeCell ref="A10:B10"/>
    <mergeCell ref="A19:B19"/>
    <mergeCell ref="A31:B31"/>
    <mergeCell ref="A41:B41"/>
    <mergeCell ref="A1:B1"/>
    <mergeCell ref="A2:B2"/>
    <mergeCell ref="A3:B3"/>
    <mergeCell ref="A4:B4"/>
    <mergeCell ref="A5:B5"/>
    <mergeCell ref="A6:B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24"/>
  <sheetViews>
    <sheetView showGridLines="0" tabSelected="1" topLeftCell="C1" workbookViewId="0">
      <selection activeCell="I5" sqref="I5"/>
    </sheetView>
  </sheetViews>
  <sheetFormatPr defaultRowHeight="14"/>
  <cols>
    <col min="1" max="1" width="12.25" customWidth="1"/>
    <col min="2" max="2" width="12.75" customWidth="1"/>
    <col min="3" max="3" width="84.58203125" style="1" customWidth="1"/>
    <col min="4" max="4" width="41" customWidth="1"/>
    <col min="5" max="5" width="24.4140625" customWidth="1"/>
    <col min="6" max="6" width="25" customWidth="1"/>
    <col min="7" max="7" width="28.33203125" customWidth="1"/>
    <col min="8" max="8" width="14.4140625" customWidth="1"/>
    <col min="9" max="9" width="26" customWidth="1"/>
    <col min="10" max="10" width="28.33203125" customWidth="1"/>
    <col min="11" max="11" width="30.58203125" customWidth="1"/>
    <col min="12" max="12" width="9.4140625" customWidth="1"/>
  </cols>
  <sheetData>
    <row r="1" spans="1:12" ht="42" customHeight="1">
      <c r="A1" s="3" t="s">
        <v>7</v>
      </c>
      <c r="B1" s="3" t="s">
        <v>8</v>
      </c>
      <c r="C1" s="4" t="s">
        <v>9</v>
      </c>
      <c r="D1" s="4" t="s">
        <v>10</v>
      </c>
      <c r="E1" s="4" t="s">
        <v>11</v>
      </c>
      <c r="F1" s="4" t="s">
        <v>12</v>
      </c>
      <c r="G1" s="4" t="s">
        <v>13</v>
      </c>
      <c r="H1" s="4" t="s">
        <v>457</v>
      </c>
      <c r="I1" s="2"/>
      <c r="J1" s="2"/>
      <c r="K1" s="2"/>
      <c r="L1" s="2"/>
    </row>
    <row r="2" spans="1:12" ht="46" customHeight="1">
      <c r="A2" s="10" t="s">
        <v>14</v>
      </c>
      <c r="B2" s="10" t="s">
        <v>15</v>
      </c>
      <c r="C2" s="5" t="s">
        <v>16</v>
      </c>
      <c r="D2" s="5" t="s">
        <v>17</v>
      </c>
      <c r="E2" s="5" t="s">
        <v>18</v>
      </c>
      <c r="F2" s="5" t="s">
        <v>19</v>
      </c>
      <c r="G2" s="5" t="s">
        <v>19</v>
      </c>
      <c r="H2" s="2">
        <f t="shared" ref="H2:H33" si="0">IF(TRIM(F2)=TRIM(G2),1,0)</f>
        <v>1</v>
      </c>
      <c r="I2" s="2"/>
      <c r="J2" s="2"/>
      <c r="K2" s="2"/>
      <c r="L2" s="2"/>
    </row>
    <row r="3" spans="1:12" ht="46" customHeight="1">
      <c r="A3" s="11" t="s">
        <v>20</v>
      </c>
      <c r="B3" s="11" t="s">
        <v>15</v>
      </c>
      <c r="C3" s="6" t="s">
        <v>21</v>
      </c>
      <c r="D3" s="6" t="s">
        <v>22</v>
      </c>
      <c r="E3" s="6" t="s">
        <v>23</v>
      </c>
      <c r="F3" s="6" t="s">
        <v>19</v>
      </c>
      <c r="G3" s="6" t="s">
        <v>19</v>
      </c>
      <c r="H3" s="2">
        <f t="shared" si="0"/>
        <v>1</v>
      </c>
      <c r="I3" s="2"/>
      <c r="J3" s="23" t="s">
        <v>458</v>
      </c>
      <c r="K3" s="22">
        <f>SUM(H2:H124)</f>
        <v>104</v>
      </c>
      <c r="L3" s="2"/>
    </row>
    <row r="4" spans="1:12" ht="60" customHeight="1">
      <c r="A4" s="10" t="s">
        <v>24</v>
      </c>
      <c r="B4" s="10" t="s">
        <v>15</v>
      </c>
      <c r="C4" s="5" t="s">
        <v>25</v>
      </c>
      <c r="D4" s="5" t="s">
        <v>26</v>
      </c>
      <c r="E4" s="5" t="s">
        <v>27</v>
      </c>
      <c r="F4" s="5" t="s">
        <v>19</v>
      </c>
      <c r="G4" s="5" t="s">
        <v>19</v>
      </c>
      <c r="H4" s="5">
        <f t="shared" si="0"/>
        <v>1</v>
      </c>
      <c r="I4" s="2"/>
      <c r="J4" s="23" t="s">
        <v>456</v>
      </c>
      <c r="K4" s="21" cm="1">
        <f t="array" ref="K4">ROWS(_xlfn.UNIQUE(_xlfn._xlws.FILTER(C2:C124,C2:C124&lt;&gt;"")))</f>
        <v>94</v>
      </c>
      <c r="L4" s="2"/>
    </row>
    <row r="5" spans="1:12" ht="46" customHeight="1">
      <c r="A5" s="11" t="s">
        <v>28</v>
      </c>
      <c r="B5" s="11" t="s">
        <v>15</v>
      </c>
      <c r="C5" s="6" t="s">
        <v>29</v>
      </c>
      <c r="D5" s="6" t="s">
        <v>30</v>
      </c>
      <c r="E5" s="6" t="s">
        <v>31</v>
      </c>
      <c r="F5" s="6" t="s">
        <v>19</v>
      </c>
      <c r="G5" s="6" t="s">
        <v>19</v>
      </c>
      <c r="H5" s="6">
        <f t="shared" si="0"/>
        <v>1</v>
      </c>
      <c r="I5" s="2"/>
      <c r="J5" s="2"/>
      <c r="L5" s="2"/>
    </row>
    <row r="6" spans="1:12" ht="46" customHeight="1">
      <c r="A6" s="10" t="s">
        <v>32</v>
      </c>
      <c r="B6" s="10" t="s">
        <v>15</v>
      </c>
      <c r="C6" s="5" t="s">
        <v>33</v>
      </c>
      <c r="D6" s="5" t="s">
        <v>34</v>
      </c>
      <c r="E6" s="5" t="s">
        <v>35</v>
      </c>
      <c r="F6" s="5" t="s">
        <v>19</v>
      </c>
      <c r="G6" s="5" t="s">
        <v>19</v>
      </c>
      <c r="H6" s="5">
        <f t="shared" si="0"/>
        <v>1</v>
      </c>
      <c r="I6" s="2"/>
      <c r="J6" s="12" t="s">
        <v>36</v>
      </c>
      <c r="K6" s="12" t="s">
        <v>13</v>
      </c>
      <c r="L6" s="12" t="s">
        <v>37</v>
      </c>
    </row>
    <row r="7" spans="1:12" ht="60" customHeight="1">
      <c r="A7" s="11" t="s">
        <v>38</v>
      </c>
      <c r="B7" s="11" t="s">
        <v>39</v>
      </c>
      <c r="C7" s="6" t="s">
        <v>453</v>
      </c>
      <c r="D7" s="6" t="s">
        <v>40</v>
      </c>
      <c r="E7" s="6" t="s">
        <v>41</v>
      </c>
      <c r="F7" s="6" t="s">
        <v>42</v>
      </c>
      <c r="G7" s="6" t="s">
        <v>42</v>
      </c>
      <c r="H7" s="6">
        <f t="shared" si="0"/>
        <v>1</v>
      </c>
      <c r="I7" s="2"/>
      <c r="J7" s="13" t="s">
        <v>43</v>
      </c>
      <c r="K7" s="13" t="s">
        <v>42</v>
      </c>
      <c r="L7" s="16">
        <v>35</v>
      </c>
    </row>
    <row r="8" spans="1:12" ht="46" customHeight="1">
      <c r="A8" s="10" t="s">
        <v>38</v>
      </c>
      <c r="B8" s="10" t="s">
        <v>39</v>
      </c>
      <c r="C8" s="5" t="s">
        <v>44</v>
      </c>
      <c r="D8" s="5" t="s">
        <v>45</v>
      </c>
      <c r="E8" s="5" t="s">
        <v>46</v>
      </c>
      <c r="F8" s="5" t="s">
        <v>19</v>
      </c>
      <c r="G8" s="5" t="s">
        <v>19</v>
      </c>
      <c r="H8" s="5">
        <f t="shared" si="0"/>
        <v>1</v>
      </c>
      <c r="I8" s="2"/>
      <c r="J8" s="14" t="s">
        <v>501</v>
      </c>
      <c r="K8" s="14" t="s">
        <v>47</v>
      </c>
      <c r="L8" s="17">
        <v>12</v>
      </c>
    </row>
    <row r="9" spans="1:12" ht="46" customHeight="1">
      <c r="A9" s="11" t="s">
        <v>48</v>
      </c>
      <c r="B9" s="11" t="s">
        <v>39</v>
      </c>
      <c r="C9" s="6" t="s">
        <v>49</v>
      </c>
      <c r="D9" s="6" t="s">
        <v>50</v>
      </c>
      <c r="E9" s="6" t="s">
        <v>35</v>
      </c>
      <c r="F9" s="6" t="s">
        <v>19</v>
      </c>
      <c r="G9" s="6" t="s">
        <v>19</v>
      </c>
      <c r="H9" s="6">
        <f t="shared" si="0"/>
        <v>1</v>
      </c>
      <c r="I9" s="2"/>
      <c r="J9" s="13" t="s">
        <v>19</v>
      </c>
      <c r="K9" s="13" t="s">
        <v>19</v>
      </c>
      <c r="L9" s="16">
        <v>49</v>
      </c>
    </row>
    <row r="10" spans="1:12" ht="46" customHeight="1">
      <c r="A10" s="10" t="s">
        <v>51</v>
      </c>
      <c r="B10" s="10" t="s">
        <v>39</v>
      </c>
      <c r="C10" s="5" t="s">
        <v>52</v>
      </c>
      <c r="D10" s="5" t="s">
        <v>53</v>
      </c>
      <c r="E10" s="5" t="s">
        <v>54</v>
      </c>
      <c r="F10" s="5" t="s">
        <v>47</v>
      </c>
      <c r="G10" s="5" t="s">
        <v>47</v>
      </c>
      <c r="H10" s="5">
        <f t="shared" si="0"/>
        <v>1</v>
      </c>
      <c r="I10" s="2"/>
      <c r="J10" s="14" t="s">
        <v>55</v>
      </c>
      <c r="K10" s="14" t="s">
        <v>56</v>
      </c>
      <c r="L10" s="17">
        <v>33</v>
      </c>
    </row>
    <row r="11" spans="1:12" ht="46" customHeight="1">
      <c r="A11" s="11" t="s">
        <v>57</v>
      </c>
      <c r="B11" s="11" t="s">
        <v>58</v>
      </c>
      <c r="C11" s="6" t="s">
        <v>59</v>
      </c>
      <c r="D11" s="6" t="s">
        <v>60</v>
      </c>
      <c r="E11" s="6" t="s">
        <v>61</v>
      </c>
      <c r="F11" s="6" t="s">
        <v>56</v>
      </c>
      <c r="G11" s="6" t="s">
        <v>56</v>
      </c>
      <c r="H11" s="6">
        <f t="shared" si="0"/>
        <v>1</v>
      </c>
      <c r="I11" s="2"/>
      <c r="J11" s="15" t="s">
        <v>62</v>
      </c>
      <c r="K11" s="15" t="s">
        <v>62</v>
      </c>
      <c r="L11" s="18">
        <v>29</v>
      </c>
    </row>
    <row r="12" spans="1:12" ht="75" customHeight="1">
      <c r="A12" s="10" t="s">
        <v>63</v>
      </c>
      <c r="B12" s="10" t="s">
        <v>58</v>
      </c>
      <c r="C12" s="5" t="s">
        <v>64</v>
      </c>
      <c r="D12" s="5" t="s">
        <v>65</v>
      </c>
      <c r="E12" s="5" t="s">
        <v>66</v>
      </c>
      <c r="F12" s="5" t="s">
        <v>67</v>
      </c>
      <c r="G12" s="5" t="s">
        <v>67</v>
      </c>
      <c r="H12" s="5">
        <f t="shared" si="0"/>
        <v>1</v>
      </c>
      <c r="I12" s="2"/>
      <c r="J12" s="2"/>
      <c r="K12" s="2"/>
      <c r="L12" s="2"/>
    </row>
    <row r="13" spans="1:12" ht="60" customHeight="1">
      <c r="A13" s="11" t="s">
        <v>68</v>
      </c>
      <c r="B13" s="11" t="s">
        <v>58</v>
      </c>
      <c r="C13" s="6" t="s">
        <v>69</v>
      </c>
      <c r="D13" s="6" t="s">
        <v>70</v>
      </c>
      <c r="E13" s="6" t="s">
        <v>71</v>
      </c>
      <c r="F13" s="6" t="s">
        <v>67</v>
      </c>
      <c r="G13" s="6" t="s">
        <v>67</v>
      </c>
      <c r="H13" s="6">
        <f t="shared" si="0"/>
        <v>1</v>
      </c>
      <c r="I13" s="2"/>
      <c r="J13" s="2"/>
      <c r="K13" s="2"/>
      <c r="L13" s="2"/>
    </row>
    <row r="14" spans="1:12" ht="46" customHeight="1">
      <c r="A14" s="10" t="s">
        <v>72</v>
      </c>
      <c r="B14" s="10" t="s">
        <v>73</v>
      </c>
      <c r="C14" s="5" t="s">
        <v>74</v>
      </c>
      <c r="D14" s="5" t="s">
        <v>75</v>
      </c>
      <c r="E14" s="5" t="s">
        <v>27</v>
      </c>
      <c r="F14" s="5" t="s">
        <v>19</v>
      </c>
      <c r="G14" s="5" t="s">
        <v>19</v>
      </c>
      <c r="H14" s="5">
        <f t="shared" si="0"/>
        <v>1</v>
      </c>
      <c r="I14" s="2"/>
      <c r="J14" s="2"/>
      <c r="K14" s="2"/>
      <c r="L14" s="2"/>
    </row>
    <row r="15" spans="1:12" ht="46" customHeight="1">
      <c r="A15" s="11" t="s">
        <v>76</v>
      </c>
      <c r="B15" s="11" t="s">
        <v>73</v>
      </c>
      <c r="C15" s="6" t="s">
        <v>77</v>
      </c>
      <c r="D15" s="6" t="s">
        <v>78</v>
      </c>
      <c r="E15" s="6" t="s">
        <v>23</v>
      </c>
      <c r="F15" s="6" t="s">
        <v>19</v>
      </c>
      <c r="G15" s="6" t="s">
        <v>19</v>
      </c>
      <c r="H15" s="6">
        <f t="shared" si="0"/>
        <v>1</v>
      </c>
      <c r="I15" s="2"/>
      <c r="J15" s="2"/>
      <c r="K15" s="2"/>
      <c r="L15" s="2"/>
    </row>
    <row r="16" spans="1:12" ht="60" customHeight="1">
      <c r="A16" s="10" t="s">
        <v>79</v>
      </c>
      <c r="B16" s="10" t="s">
        <v>80</v>
      </c>
      <c r="C16" s="5" t="s">
        <v>81</v>
      </c>
      <c r="D16" s="5" t="s">
        <v>82</v>
      </c>
      <c r="E16" s="5" t="s">
        <v>83</v>
      </c>
      <c r="F16" s="5" t="s">
        <v>19</v>
      </c>
      <c r="G16" s="5" t="s">
        <v>19</v>
      </c>
      <c r="H16" s="5">
        <f t="shared" si="0"/>
        <v>1</v>
      </c>
      <c r="I16" s="2"/>
      <c r="J16" s="2"/>
      <c r="K16" s="2"/>
      <c r="L16" s="2"/>
    </row>
    <row r="17" spans="1:12" ht="46" customHeight="1">
      <c r="A17" s="11" t="s">
        <v>84</v>
      </c>
      <c r="B17" s="11" t="s">
        <v>80</v>
      </c>
      <c r="C17" s="6" t="s">
        <v>85</v>
      </c>
      <c r="D17" s="6" t="s">
        <v>86</v>
      </c>
      <c r="E17" s="6" t="s">
        <v>86</v>
      </c>
      <c r="F17" s="6" t="s">
        <v>42</v>
      </c>
      <c r="G17" s="6" t="s">
        <v>42</v>
      </c>
      <c r="H17" s="6">
        <f t="shared" si="0"/>
        <v>1</v>
      </c>
      <c r="I17" s="2"/>
      <c r="J17" s="2"/>
      <c r="K17" s="2"/>
      <c r="L17" s="2"/>
    </row>
    <row r="18" spans="1:12" ht="60" customHeight="1">
      <c r="A18" s="10" t="s">
        <v>87</v>
      </c>
      <c r="B18" s="10" t="s">
        <v>80</v>
      </c>
      <c r="C18" s="5" t="s">
        <v>454</v>
      </c>
      <c r="D18" s="5" t="s">
        <v>88</v>
      </c>
      <c r="E18" s="5" t="s">
        <v>42</v>
      </c>
      <c r="F18" s="5" t="s">
        <v>89</v>
      </c>
      <c r="G18" s="5" t="s">
        <v>89</v>
      </c>
      <c r="H18" s="5">
        <f t="shared" si="0"/>
        <v>1</v>
      </c>
      <c r="I18" s="2"/>
      <c r="J18" s="2"/>
      <c r="K18" s="2"/>
      <c r="L18" s="2"/>
    </row>
    <row r="19" spans="1:12" ht="60" customHeight="1">
      <c r="A19" s="11" t="s">
        <v>87</v>
      </c>
      <c r="B19" s="11" t="s">
        <v>80</v>
      </c>
      <c r="C19" s="6" t="s">
        <v>90</v>
      </c>
      <c r="D19" s="6" t="s">
        <v>91</v>
      </c>
      <c r="E19" s="6" t="s">
        <v>23</v>
      </c>
      <c r="F19" s="6" t="s">
        <v>42</v>
      </c>
      <c r="G19" s="6" t="s">
        <v>42</v>
      </c>
      <c r="H19" s="6">
        <f t="shared" si="0"/>
        <v>1</v>
      </c>
      <c r="I19" s="2"/>
      <c r="J19" s="2"/>
      <c r="K19" s="2"/>
      <c r="L19" s="2"/>
    </row>
    <row r="20" spans="1:12" ht="60" customHeight="1">
      <c r="A20" s="10" t="s">
        <v>87</v>
      </c>
      <c r="B20" s="10" t="s">
        <v>80</v>
      </c>
      <c r="C20" s="5" t="s">
        <v>92</v>
      </c>
      <c r="D20" s="5" t="s">
        <v>93</v>
      </c>
      <c r="E20" s="5" t="s">
        <v>17</v>
      </c>
      <c r="F20" s="5" t="s">
        <v>19</v>
      </c>
      <c r="G20" s="5" t="s">
        <v>19</v>
      </c>
      <c r="H20" s="5">
        <f t="shared" si="0"/>
        <v>1</v>
      </c>
      <c r="I20" s="2"/>
      <c r="J20" s="2"/>
      <c r="K20" s="2"/>
      <c r="L20" s="2"/>
    </row>
    <row r="21" spans="1:12" ht="46" customHeight="1">
      <c r="A21" s="11" t="s">
        <v>94</v>
      </c>
      <c r="B21" s="11" t="s">
        <v>80</v>
      </c>
      <c r="C21" s="6" t="s">
        <v>95</v>
      </c>
      <c r="D21" s="6" t="s">
        <v>96</v>
      </c>
      <c r="E21" s="6" t="s">
        <v>22</v>
      </c>
      <c r="F21" s="6" t="s">
        <v>19</v>
      </c>
      <c r="G21" s="6" t="s">
        <v>19</v>
      </c>
      <c r="H21" s="6">
        <f t="shared" si="0"/>
        <v>1</v>
      </c>
      <c r="I21" s="2"/>
      <c r="J21" s="2"/>
      <c r="K21" s="2"/>
      <c r="L21" s="2"/>
    </row>
    <row r="22" spans="1:12" ht="46" customHeight="1">
      <c r="A22" s="10" t="s">
        <v>94</v>
      </c>
      <c r="B22" s="10" t="s">
        <v>80</v>
      </c>
      <c r="C22" s="5" t="s">
        <v>97</v>
      </c>
      <c r="D22" s="5" t="s">
        <v>98</v>
      </c>
      <c r="E22" s="5" t="s">
        <v>99</v>
      </c>
      <c r="F22" s="5" t="s">
        <v>56</v>
      </c>
      <c r="G22" s="5" t="s">
        <v>56</v>
      </c>
      <c r="H22" s="5">
        <f t="shared" si="0"/>
        <v>1</v>
      </c>
      <c r="I22" s="2"/>
      <c r="J22" s="2"/>
      <c r="K22" s="2"/>
      <c r="L22" s="2"/>
    </row>
    <row r="23" spans="1:12" ht="46" customHeight="1">
      <c r="A23" s="11" t="s">
        <v>100</v>
      </c>
      <c r="B23" s="11" t="s">
        <v>101</v>
      </c>
      <c r="C23" s="6" t="s">
        <v>102</v>
      </c>
      <c r="D23" s="6" t="s">
        <v>103</v>
      </c>
      <c r="E23" s="6" t="s">
        <v>35</v>
      </c>
      <c r="F23" s="6" t="s">
        <v>19</v>
      </c>
      <c r="G23" s="6" t="s">
        <v>104</v>
      </c>
      <c r="H23" s="6">
        <f t="shared" si="0"/>
        <v>0</v>
      </c>
      <c r="I23" s="2"/>
      <c r="J23" s="2"/>
      <c r="K23" s="2"/>
      <c r="L23" s="2"/>
    </row>
    <row r="24" spans="1:12" ht="60" customHeight="1">
      <c r="A24" s="10" t="s">
        <v>100</v>
      </c>
      <c r="B24" s="10" t="s">
        <v>101</v>
      </c>
      <c r="C24" s="5" t="s">
        <v>105</v>
      </c>
      <c r="D24" s="5" t="s">
        <v>106</v>
      </c>
      <c r="E24" s="5" t="s">
        <v>107</v>
      </c>
      <c r="F24" s="5" t="s">
        <v>108</v>
      </c>
      <c r="G24" s="5" t="s">
        <v>109</v>
      </c>
      <c r="H24" s="5">
        <f t="shared" si="0"/>
        <v>0</v>
      </c>
      <c r="I24" s="2"/>
      <c r="J24" s="2"/>
      <c r="K24" s="2"/>
      <c r="L24" s="2"/>
    </row>
    <row r="25" spans="1:12" ht="46" customHeight="1">
      <c r="A25" s="11" t="s">
        <v>110</v>
      </c>
      <c r="B25" s="11" t="s">
        <v>111</v>
      </c>
      <c r="C25" s="6" t="s">
        <v>112</v>
      </c>
      <c r="D25" s="6" t="s">
        <v>113</v>
      </c>
      <c r="E25" s="6" t="s">
        <v>114</v>
      </c>
      <c r="F25" s="6" t="s">
        <v>115</v>
      </c>
      <c r="G25" s="6" t="s">
        <v>116</v>
      </c>
      <c r="H25" s="6">
        <f t="shared" si="0"/>
        <v>0</v>
      </c>
      <c r="I25" s="2"/>
      <c r="J25" s="2"/>
      <c r="K25" s="2"/>
      <c r="L25" s="2"/>
    </row>
    <row r="26" spans="1:12" ht="60" customHeight="1">
      <c r="A26" s="10" t="s">
        <v>117</v>
      </c>
      <c r="B26" s="10" t="s">
        <v>118</v>
      </c>
      <c r="C26" s="5" t="s">
        <v>119</v>
      </c>
      <c r="D26" s="5" t="s">
        <v>120</v>
      </c>
      <c r="E26" s="5" t="s">
        <v>42</v>
      </c>
      <c r="F26" s="5" t="s">
        <v>42</v>
      </c>
      <c r="G26" s="5" t="s">
        <v>42</v>
      </c>
      <c r="H26" s="5">
        <f t="shared" si="0"/>
        <v>1</v>
      </c>
      <c r="I26" s="2"/>
      <c r="J26" s="2"/>
      <c r="K26" s="2"/>
      <c r="L26" s="2"/>
    </row>
    <row r="27" spans="1:12" ht="46" customHeight="1">
      <c r="A27" s="11" t="s">
        <v>121</v>
      </c>
      <c r="B27" s="11" t="s">
        <v>118</v>
      </c>
      <c r="C27" s="6" t="s">
        <v>122</v>
      </c>
      <c r="D27" s="6" t="s">
        <v>123</v>
      </c>
      <c r="E27" s="6" t="s">
        <v>42</v>
      </c>
      <c r="F27" s="6" t="s">
        <v>42</v>
      </c>
      <c r="G27" s="6" t="s">
        <v>42</v>
      </c>
      <c r="H27" s="6">
        <f t="shared" si="0"/>
        <v>1</v>
      </c>
      <c r="I27" s="2"/>
      <c r="J27" s="2"/>
      <c r="K27" s="2"/>
      <c r="L27" s="2"/>
    </row>
    <row r="28" spans="1:12" ht="46" customHeight="1">
      <c r="A28" s="10" t="s">
        <v>124</v>
      </c>
      <c r="B28" s="10" t="s">
        <v>125</v>
      </c>
      <c r="C28" s="5" t="s">
        <v>126</v>
      </c>
      <c r="D28" s="5" t="s">
        <v>127</v>
      </c>
      <c r="E28" s="5" t="s">
        <v>83</v>
      </c>
      <c r="F28" s="7" t="s">
        <v>19</v>
      </c>
      <c r="G28" s="7" t="s">
        <v>19</v>
      </c>
      <c r="H28" s="24">
        <f t="shared" si="0"/>
        <v>1</v>
      </c>
      <c r="I28" s="2"/>
      <c r="J28" s="2"/>
      <c r="K28" s="2"/>
      <c r="L28" s="2"/>
    </row>
    <row r="29" spans="1:12" ht="46" customHeight="1">
      <c r="A29" s="11" t="s">
        <v>124</v>
      </c>
      <c r="B29" s="11" t="s">
        <v>125</v>
      </c>
      <c r="C29" s="6" t="s">
        <v>128</v>
      </c>
      <c r="D29" s="6" t="s">
        <v>129</v>
      </c>
      <c r="E29" s="6" t="s">
        <v>130</v>
      </c>
      <c r="F29" s="6" t="s">
        <v>19</v>
      </c>
      <c r="G29" s="6" t="s">
        <v>19</v>
      </c>
      <c r="H29" s="6">
        <f t="shared" si="0"/>
        <v>1</v>
      </c>
      <c r="I29" s="2"/>
      <c r="J29" s="2"/>
      <c r="K29" s="2"/>
      <c r="L29" s="2"/>
    </row>
    <row r="30" spans="1:12" ht="60" customHeight="1">
      <c r="A30" s="10" t="s">
        <v>131</v>
      </c>
      <c r="B30" s="10" t="s">
        <v>132</v>
      </c>
      <c r="C30" s="5" t="s">
        <v>133</v>
      </c>
      <c r="D30" s="5" t="s">
        <v>134</v>
      </c>
      <c r="E30" s="5" t="s">
        <v>135</v>
      </c>
      <c r="F30" s="7" t="s">
        <v>136</v>
      </c>
      <c r="G30" s="5" t="s">
        <v>19</v>
      </c>
      <c r="H30" s="5">
        <f t="shared" si="0"/>
        <v>0</v>
      </c>
      <c r="I30" s="2"/>
      <c r="J30" s="2"/>
      <c r="K30" s="2"/>
      <c r="L30" s="2"/>
    </row>
    <row r="31" spans="1:12" ht="46" customHeight="1">
      <c r="A31" s="11" t="s">
        <v>137</v>
      </c>
      <c r="B31" s="11" t="s">
        <v>132</v>
      </c>
      <c r="C31" s="6" t="s">
        <v>138</v>
      </c>
      <c r="D31" s="6" t="s">
        <v>139</v>
      </c>
      <c r="E31" s="6" t="s">
        <v>130</v>
      </c>
      <c r="F31" s="6" t="s">
        <v>19</v>
      </c>
      <c r="G31" s="6" t="s">
        <v>19</v>
      </c>
      <c r="H31" s="6">
        <f t="shared" si="0"/>
        <v>1</v>
      </c>
      <c r="I31" s="2"/>
      <c r="J31" s="2"/>
      <c r="K31" s="2"/>
      <c r="L31" s="2"/>
    </row>
    <row r="32" spans="1:12" ht="60" customHeight="1">
      <c r="A32" s="10" t="s">
        <v>140</v>
      </c>
      <c r="B32" s="10" t="s">
        <v>132</v>
      </c>
      <c r="C32" s="5" t="s">
        <v>141</v>
      </c>
      <c r="D32" s="5" t="s">
        <v>142</v>
      </c>
      <c r="E32" s="5" t="s">
        <v>99</v>
      </c>
      <c r="F32" s="5" t="s">
        <v>56</v>
      </c>
      <c r="G32" s="5" t="s">
        <v>56</v>
      </c>
      <c r="H32" s="5">
        <f t="shared" si="0"/>
        <v>1</v>
      </c>
      <c r="I32" s="2"/>
      <c r="J32" s="2"/>
      <c r="K32" s="2"/>
      <c r="L32" s="2"/>
    </row>
    <row r="33" spans="1:12" ht="60" customHeight="1">
      <c r="A33" s="11" t="s">
        <v>140</v>
      </c>
      <c r="B33" s="11" t="s">
        <v>132</v>
      </c>
      <c r="C33" s="6" t="s">
        <v>143</v>
      </c>
      <c r="D33" s="6" t="s">
        <v>144</v>
      </c>
      <c r="E33" s="6" t="s">
        <v>145</v>
      </c>
      <c r="F33" s="6" t="s">
        <v>42</v>
      </c>
      <c r="G33" s="6" t="s">
        <v>146</v>
      </c>
      <c r="H33" s="6">
        <f t="shared" si="0"/>
        <v>0</v>
      </c>
      <c r="I33" s="2"/>
      <c r="J33" s="2"/>
      <c r="K33" s="2"/>
      <c r="L33" s="2"/>
    </row>
    <row r="34" spans="1:12" ht="60" customHeight="1">
      <c r="A34" s="10" t="s">
        <v>140</v>
      </c>
      <c r="B34" s="10" t="s">
        <v>132</v>
      </c>
      <c r="C34" s="5" t="s">
        <v>147</v>
      </c>
      <c r="D34" s="5" t="s">
        <v>148</v>
      </c>
      <c r="E34" s="5" t="s">
        <v>149</v>
      </c>
      <c r="F34" s="5" t="s">
        <v>150</v>
      </c>
      <c r="G34" s="5" t="s">
        <v>150</v>
      </c>
      <c r="H34" s="5">
        <f t="shared" ref="H34:H65" si="1">IF(TRIM(F34)=TRIM(G34),1,0)</f>
        <v>1</v>
      </c>
      <c r="I34" s="2"/>
      <c r="J34" s="2"/>
      <c r="K34" s="2"/>
      <c r="L34" s="2"/>
    </row>
    <row r="35" spans="1:12" ht="60" customHeight="1">
      <c r="A35" s="11" t="s">
        <v>151</v>
      </c>
      <c r="B35" s="11" t="s">
        <v>152</v>
      </c>
      <c r="C35" s="6" t="s">
        <v>153</v>
      </c>
      <c r="D35" s="6" t="s">
        <v>154</v>
      </c>
      <c r="E35" s="6" t="s">
        <v>155</v>
      </c>
      <c r="F35" s="6" t="s">
        <v>19</v>
      </c>
      <c r="G35" s="6" t="s">
        <v>19</v>
      </c>
      <c r="H35" s="6">
        <f t="shared" si="1"/>
        <v>1</v>
      </c>
      <c r="I35" s="2"/>
      <c r="J35" s="2"/>
      <c r="K35" s="2"/>
      <c r="L35" s="2"/>
    </row>
    <row r="36" spans="1:12" ht="46" customHeight="1">
      <c r="A36" s="10" t="s">
        <v>156</v>
      </c>
      <c r="B36" s="10" t="s">
        <v>152</v>
      </c>
      <c r="C36" s="5" t="s">
        <v>157</v>
      </c>
      <c r="D36" s="5" t="s">
        <v>158</v>
      </c>
      <c r="E36" s="5" t="s">
        <v>149</v>
      </c>
      <c r="F36" s="5" t="s">
        <v>150</v>
      </c>
      <c r="G36" s="5" t="s">
        <v>150</v>
      </c>
      <c r="H36" s="5">
        <f t="shared" si="1"/>
        <v>1</v>
      </c>
      <c r="I36" s="2"/>
      <c r="J36" s="2"/>
      <c r="K36" s="2"/>
      <c r="L36" s="2"/>
    </row>
    <row r="37" spans="1:12" ht="46" customHeight="1">
      <c r="A37" s="11" t="s">
        <v>156</v>
      </c>
      <c r="B37" s="11" t="s">
        <v>152</v>
      </c>
      <c r="C37" s="6" t="s">
        <v>159</v>
      </c>
      <c r="D37" s="6" t="s">
        <v>160</v>
      </c>
      <c r="E37" s="6" t="s">
        <v>99</v>
      </c>
      <c r="F37" s="6" t="s">
        <v>56</v>
      </c>
      <c r="G37" s="6" t="s">
        <v>56</v>
      </c>
      <c r="H37" s="6">
        <f t="shared" si="1"/>
        <v>1</v>
      </c>
      <c r="I37" s="2"/>
      <c r="J37" s="2"/>
      <c r="K37" s="2"/>
      <c r="L37" s="2"/>
    </row>
    <row r="38" spans="1:12" ht="46" customHeight="1">
      <c r="A38" s="10" t="s">
        <v>161</v>
      </c>
      <c r="B38" s="10" t="s">
        <v>162</v>
      </c>
      <c r="C38" s="5" t="s">
        <v>163</v>
      </c>
      <c r="D38" s="5" t="s">
        <v>164</v>
      </c>
      <c r="E38" s="5" t="s">
        <v>42</v>
      </c>
      <c r="F38" s="5" t="s">
        <v>42</v>
      </c>
      <c r="G38" s="5" t="s">
        <v>165</v>
      </c>
      <c r="H38" s="5">
        <f t="shared" si="1"/>
        <v>0</v>
      </c>
      <c r="I38" s="2"/>
      <c r="J38" s="2"/>
      <c r="K38" s="2"/>
      <c r="L38" s="2"/>
    </row>
    <row r="39" spans="1:12" ht="60" customHeight="1">
      <c r="A39" s="11" t="s">
        <v>166</v>
      </c>
      <c r="B39" s="11" t="s">
        <v>162</v>
      </c>
      <c r="C39" s="6" t="s">
        <v>167</v>
      </c>
      <c r="D39" s="6" t="s">
        <v>168</v>
      </c>
      <c r="E39" s="6" t="s">
        <v>169</v>
      </c>
      <c r="F39" s="6" t="s">
        <v>170</v>
      </c>
      <c r="G39" s="6" t="s">
        <v>170</v>
      </c>
      <c r="H39" s="6">
        <f t="shared" si="1"/>
        <v>1</v>
      </c>
      <c r="I39" s="2"/>
      <c r="J39" s="2"/>
      <c r="K39" s="2"/>
      <c r="L39" s="2"/>
    </row>
    <row r="40" spans="1:12" ht="46" customHeight="1">
      <c r="A40" s="10" t="s">
        <v>171</v>
      </c>
      <c r="B40" s="10" t="s">
        <v>162</v>
      </c>
      <c r="C40" s="5" t="s">
        <v>172</v>
      </c>
      <c r="D40" s="5" t="s">
        <v>173</v>
      </c>
      <c r="E40" s="5" t="s">
        <v>42</v>
      </c>
      <c r="F40" s="5" t="s">
        <v>42</v>
      </c>
      <c r="G40" s="5" t="s">
        <v>165</v>
      </c>
      <c r="H40" s="5">
        <f t="shared" si="1"/>
        <v>0</v>
      </c>
      <c r="I40" s="2"/>
      <c r="J40" s="2"/>
      <c r="K40" s="2"/>
      <c r="L40" s="2"/>
    </row>
    <row r="41" spans="1:12" ht="60" customHeight="1">
      <c r="A41" s="11" t="s">
        <v>174</v>
      </c>
      <c r="B41" s="11" t="s">
        <v>162</v>
      </c>
      <c r="C41" s="6" t="s">
        <v>175</v>
      </c>
      <c r="D41" s="6" t="s">
        <v>176</v>
      </c>
      <c r="E41" s="6" t="s">
        <v>177</v>
      </c>
      <c r="F41" s="6" t="s">
        <v>56</v>
      </c>
      <c r="G41" s="6" t="s">
        <v>56</v>
      </c>
      <c r="H41" s="6">
        <f t="shared" si="1"/>
        <v>1</v>
      </c>
      <c r="I41" s="2"/>
      <c r="J41" s="2"/>
      <c r="K41" s="2"/>
      <c r="L41" s="2"/>
    </row>
    <row r="42" spans="1:12" ht="46" customHeight="1">
      <c r="A42" s="10" t="s">
        <v>178</v>
      </c>
      <c r="B42" s="10" t="s">
        <v>179</v>
      </c>
      <c r="C42" s="5" t="s">
        <v>180</v>
      </c>
      <c r="D42" s="5" t="s">
        <v>181</v>
      </c>
      <c r="E42" s="5" t="s">
        <v>182</v>
      </c>
      <c r="F42" s="5" t="s">
        <v>108</v>
      </c>
      <c r="G42" s="5" t="s">
        <v>108</v>
      </c>
      <c r="H42" s="5">
        <f t="shared" si="1"/>
        <v>1</v>
      </c>
      <c r="I42" s="2"/>
      <c r="J42" s="2"/>
      <c r="K42" s="2"/>
      <c r="L42" s="2"/>
    </row>
    <row r="43" spans="1:12" ht="46" customHeight="1">
      <c r="A43" s="11" t="s">
        <v>183</v>
      </c>
      <c r="B43" s="11" t="s">
        <v>184</v>
      </c>
      <c r="C43" s="6" t="s">
        <v>185</v>
      </c>
      <c r="D43" s="6" t="s">
        <v>186</v>
      </c>
      <c r="E43" s="6" t="s">
        <v>35</v>
      </c>
      <c r="F43" s="6" t="s">
        <v>19</v>
      </c>
      <c r="G43" s="6" t="s">
        <v>19</v>
      </c>
      <c r="H43" s="6">
        <f t="shared" si="1"/>
        <v>1</v>
      </c>
      <c r="I43" s="2"/>
      <c r="J43" s="2"/>
      <c r="K43" s="2"/>
      <c r="L43" s="2"/>
    </row>
    <row r="44" spans="1:12" ht="60" customHeight="1">
      <c r="A44" s="10" t="s">
        <v>187</v>
      </c>
      <c r="B44" s="10" t="s">
        <v>184</v>
      </c>
      <c r="C44" s="5" t="s">
        <v>188</v>
      </c>
      <c r="D44" s="5" t="s">
        <v>189</v>
      </c>
      <c r="E44" s="5" t="s">
        <v>190</v>
      </c>
      <c r="F44" s="5" t="s">
        <v>19</v>
      </c>
      <c r="G44" s="5" t="s">
        <v>19</v>
      </c>
      <c r="H44" s="5">
        <f t="shared" si="1"/>
        <v>1</v>
      </c>
      <c r="I44" s="2"/>
      <c r="J44" s="2"/>
      <c r="K44" s="2"/>
      <c r="L44" s="2"/>
    </row>
    <row r="45" spans="1:12" ht="46" customHeight="1">
      <c r="A45" s="10" t="s">
        <v>191</v>
      </c>
      <c r="B45" s="10" t="s">
        <v>184</v>
      </c>
      <c r="C45" s="5" t="s">
        <v>192</v>
      </c>
      <c r="D45" s="5" t="s">
        <v>193</v>
      </c>
      <c r="E45" s="5" t="s">
        <v>194</v>
      </c>
      <c r="F45" s="5" t="s">
        <v>195</v>
      </c>
      <c r="G45" s="5" t="s">
        <v>195</v>
      </c>
      <c r="H45" s="5">
        <f t="shared" si="1"/>
        <v>1</v>
      </c>
      <c r="I45" s="2"/>
      <c r="J45" s="2"/>
      <c r="K45" s="2"/>
      <c r="L45" s="2"/>
    </row>
    <row r="46" spans="1:12" ht="46" customHeight="1">
      <c r="A46" s="11" t="s">
        <v>196</v>
      </c>
      <c r="B46" s="11" t="s">
        <v>184</v>
      </c>
      <c r="C46" s="6" t="s">
        <v>197</v>
      </c>
      <c r="D46" s="6" t="s">
        <v>198</v>
      </c>
      <c r="E46" s="6" t="s">
        <v>26</v>
      </c>
      <c r="F46" s="6" t="s">
        <v>19</v>
      </c>
      <c r="G46" s="6" t="s">
        <v>19</v>
      </c>
      <c r="H46" s="6">
        <f t="shared" si="1"/>
        <v>1</v>
      </c>
      <c r="I46" s="2"/>
      <c r="J46" s="2"/>
      <c r="K46" s="2"/>
      <c r="L46" s="2"/>
    </row>
    <row r="47" spans="1:12" ht="46" customHeight="1">
      <c r="A47" s="10" t="s">
        <v>199</v>
      </c>
      <c r="B47" s="10" t="s">
        <v>200</v>
      </c>
      <c r="C47" s="5" t="s">
        <v>201</v>
      </c>
      <c r="D47" s="5" t="s">
        <v>202</v>
      </c>
      <c r="E47" s="5" t="s">
        <v>22</v>
      </c>
      <c r="F47" s="5" t="s">
        <v>19</v>
      </c>
      <c r="G47" s="5" t="s">
        <v>19</v>
      </c>
      <c r="H47" s="5">
        <f t="shared" si="1"/>
        <v>1</v>
      </c>
      <c r="I47" s="2"/>
      <c r="J47" s="2"/>
      <c r="K47" s="2"/>
      <c r="L47" s="2"/>
    </row>
    <row r="48" spans="1:12" ht="46" customHeight="1">
      <c r="A48" s="11" t="s">
        <v>199</v>
      </c>
      <c r="B48" s="11" t="s">
        <v>200</v>
      </c>
      <c r="C48" s="6" t="s">
        <v>203</v>
      </c>
      <c r="D48" s="6" t="s">
        <v>204</v>
      </c>
      <c r="E48" s="6" t="s">
        <v>99</v>
      </c>
      <c r="F48" s="6" t="s">
        <v>56</v>
      </c>
      <c r="G48" s="6" t="s">
        <v>205</v>
      </c>
      <c r="H48" s="6">
        <f t="shared" si="1"/>
        <v>0</v>
      </c>
      <c r="I48" s="2"/>
      <c r="J48" s="2"/>
      <c r="K48" s="2"/>
      <c r="L48" s="2"/>
    </row>
    <row r="49" spans="1:12" ht="46" customHeight="1">
      <c r="A49" s="10" t="s">
        <v>206</v>
      </c>
      <c r="B49" s="10" t="s">
        <v>200</v>
      </c>
      <c r="C49" s="5" t="s">
        <v>207</v>
      </c>
      <c r="D49" s="5" t="s">
        <v>208</v>
      </c>
      <c r="E49" s="5" t="s">
        <v>177</v>
      </c>
      <c r="F49" s="5" t="s">
        <v>56</v>
      </c>
      <c r="G49" s="5" t="s">
        <v>209</v>
      </c>
      <c r="H49" s="5">
        <f t="shared" si="1"/>
        <v>0</v>
      </c>
      <c r="I49" s="2"/>
      <c r="J49" s="2"/>
      <c r="K49" s="2"/>
      <c r="L49" s="2"/>
    </row>
    <row r="50" spans="1:12" ht="60" customHeight="1">
      <c r="A50" s="11" t="s">
        <v>210</v>
      </c>
      <c r="B50" s="11" t="s">
        <v>200</v>
      </c>
      <c r="C50" s="6" t="s">
        <v>211</v>
      </c>
      <c r="D50" s="6" t="s">
        <v>212</v>
      </c>
      <c r="E50" s="6" t="s">
        <v>194</v>
      </c>
      <c r="F50" s="6" t="s">
        <v>42</v>
      </c>
      <c r="G50" s="6" t="s">
        <v>42</v>
      </c>
      <c r="H50" s="6">
        <f t="shared" si="1"/>
        <v>1</v>
      </c>
      <c r="I50" s="2"/>
      <c r="J50" s="2"/>
      <c r="K50" s="2"/>
      <c r="L50" s="2"/>
    </row>
    <row r="51" spans="1:12" ht="75" customHeight="1">
      <c r="A51" s="10" t="s">
        <v>213</v>
      </c>
      <c r="B51" s="10" t="s">
        <v>214</v>
      </c>
      <c r="C51" s="5" t="s">
        <v>215</v>
      </c>
      <c r="D51" s="5" t="s">
        <v>216</v>
      </c>
      <c r="E51" s="5" t="s">
        <v>216</v>
      </c>
      <c r="F51" s="5" t="s">
        <v>115</v>
      </c>
      <c r="G51" s="5" t="s">
        <v>115</v>
      </c>
      <c r="H51" s="5">
        <f t="shared" si="1"/>
        <v>1</v>
      </c>
      <c r="I51" s="2"/>
      <c r="J51" s="2"/>
      <c r="K51" s="2"/>
      <c r="L51" s="2"/>
    </row>
    <row r="52" spans="1:12" ht="75" customHeight="1">
      <c r="A52" s="11" t="s">
        <v>217</v>
      </c>
      <c r="B52" s="11" t="s">
        <v>214</v>
      </c>
      <c r="C52" s="6" t="s">
        <v>218</v>
      </c>
      <c r="D52" s="6" t="s">
        <v>219</v>
      </c>
      <c r="E52" s="6" t="s">
        <v>194</v>
      </c>
      <c r="F52" s="6" t="s">
        <v>42</v>
      </c>
      <c r="G52" s="6" t="s">
        <v>42</v>
      </c>
      <c r="H52" s="6">
        <f t="shared" si="1"/>
        <v>1</v>
      </c>
      <c r="I52" s="2"/>
      <c r="J52" s="2"/>
      <c r="K52" s="2"/>
      <c r="L52" s="2"/>
    </row>
    <row r="53" spans="1:12" ht="75" customHeight="1">
      <c r="A53" s="10" t="s">
        <v>217</v>
      </c>
      <c r="B53" s="10" t="s">
        <v>214</v>
      </c>
      <c r="C53" s="5" t="s">
        <v>220</v>
      </c>
      <c r="D53" s="5" t="s">
        <v>221</v>
      </c>
      <c r="E53" s="5" t="s">
        <v>194</v>
      </c>
      <c r="F53" s="5" t="s">
        <v>42</v>
      </c>
      <c r="G53" s="5" t="s">
        <v>42</v>
      </c>
      <c r="H53" s="5">
        <f t="shared" si="1"/>
        <v>1</v>
      </c>
      <c r="I53" s="2"/>
      <c r="J53" s="2"/>
      <c r="K53" s="2"/>
      <c r="L53" s="2"/>
    </row>
    <row r="54" spans="1:12" ht="75" customHeight="1">
      <c r="A54" s="10" t="s">
        <v>217</v>
      </c>
      <c r="B54" s="10" t="s">
        <v>214</v>
      </c>
      <c r="C54" s="5" t="s">
        <v>226</v>
      </c>
      <c r="D54" s="5" t="s">
        <v>227</v>
      </c>
      <c r="E54" s="5" t="s">
        <v>228</v>
      </c>
      <c r="F54" s="5" t="s">
        <v>115</v>
      </c>
      <c r="G54" s="5" t="s">
        <v>115</v>
      </c>
      <c r="H54" s="5">
        <f t="shared" si="1"/>
        <v>1</v>
      </c>
      <c r="I54" s="2"/>
      <c r="J54" s="2"/>
      <c r="K54" s="2"/>
      <c r="L54" s="2"/>
    </row>
    <row r="55" spans="1:12" ht="75" customHeight="1">
      <c r="A55" s="11" t="s">
        <v>229</v>
      </c>
      <c r="B55" s="11" t="s">
        <v>214</v>
      </c>
      <c r="C55" s="6" t="s">
        <v>230</v>
      </c>
      <c r="D55" s="6" t="s">
        <v>231</v>
      </c>
      <c r="E55" s="6" t="s">
        <v>232</v>
      </c>
      <c r="F55" s="6" t="s">
        <v>42</v>
      </c>
      <c r="G55" s="6" t="s">
        <v>233</v>
      </c>
      <c r="H55" s="6">
        <f t="shared" si="1"/>
        <v>0</v>
      </c>
      <c r="I55" s="2"/>
      <c r="J55" s="2"/>
      <c r="K55" s="2"/>
      <c r="L55" s="2"/>
    </row>
    <row r="56" spans="1:12" ht="75" customHeight="1">
      <c r="A56" s="10" t="s">
        <v>234</v>
      </c>
      <c r="B56" s="10" t="s">
        <v>214</v>
      </c>
      <c r="C56" s="5" t="s">
        <v>235</v>
      </c>
      <c r="D56" s="5" t="s">
        <v>236</v>
      </c>
      <c r="E56" s="5" t="s">
        <v>194</v>
      </c>
      <c r="F56" s="5" t="s">
        <v>42</v>
      </c>
      <c r="G56" s="5" t="s">
        <v>42</v>
      </c>
      <c r="H56" s="5">
        <f t="shared" si="1"/>
        <v>1</v>
      </c>
      <c r="I56" s="2"/>
      <c r="J56" s="2"/>
      <c r="K56" s="2"/>
      <c r="L56" s="2"/>
    </row>
    <row r="57" spans="1:12" ht="75" customHeight="1">
      <c r="A57" s="11" t="s">
        <v>234</v>
      </c>
      <c r="B57" s="11" t="s">
        <v>214</v>
      </c>
      <c r="C57" s="6" t="s">
        <v>237</v>
      </c>
      <c r="D57" s="6" t="s">
        <v>238</v>
      </c>
      <c r="E57" s="6" t="s">
        <v>35</v>
      </c>
      <c r="F57" s="6" t="s">
        <v>19</v>
      </c>
      <c r="G57" s="6" t="s">
        <v>19</v>
      </c>
      <c r="H57" s="6">
        <f t="shared" si="1"/>
        <v>1</v>
      </c>
      <c r="I57" s="2"/>
      <c r="J57" s="2"/>
      <c r="K57" s="2"/>
      <c r="L57" s="2"/>
    </row>
    <row r="58" spans="1:12" ht="75" customHeight="1">
      <c r="A58" s="10" t="s">
        <v>239</v>
      </c>
      <c r="B58" s="10" t="s">
        <v>214</v>
      </c>
      <c r="C58" s="5" t="s">
        <v>240</v>
      </c>
      <c r="D58" s="5" t="s">
        <v>241</v>
      </c>
      <c r="E58" s="5" t="s">
        <v>242</v>
      </c>
      <c r="F58" s="9" t="s">
        <v>47</v>
      </c>
      <c r="G58" s="5" t="s">
        <v>243</v>
      </c>
      <c r="H58" s="5">
        <f t="shared" si="1"/>
        <v>0</v>
      </c>
      <c r="I58" s="2"/>
      <c r="J58" s="2"/>
      <c r="K58" s="2"/>
      <c r="L58" s="2"/>
    </row>
    <row r="59" spans="1:12" ht="46" customHeight="1">
      <c r="A59" s="11" t="s">
        <v>244</v>
      </c>
      <c r="B59" s="11" t="s">
        <v>214</v>
      </c>
      <c r="C59" s="6" t="s">
        <v>245</v>
      </c>
      <c r="D59" s="6" t="s">
        <v>246</v>
      </c>
      <c r="E59" s="6" t="s">
        <v>247</v>
      </c>
      <c r="F59" s="6" t="s">
        <v>108</v>
      </c>
      <c r="G59" s="6" t="s">
        <v>108</v>
      </c>
      <c r="H59" s="6">
        <f t="shared" si="1"/>
        <v>1</v>
      </c>
      <c r="I59" s="2"/>
      <c r="J59" s="2"/>
      <c r="K59" s="2"/>
      <c r="L59" s="2"/>
    </row>
    <row r="60" spans="1:12" ht="60" customHeight="1">
      <c r="A60" s="10" t="s">
        <v>248</v>
      </c>
      <c r="B60" s="10" t="s">
        <v>214</v>
      </c>
      <c r="C60" s="5" t="s">
        <v>249</v>
      </c>
      <c r="D60" s="5" t="s">
        <v>250</v>
      </c>
      <c r="E60" s="5" t="s">
        <v>247</v>
      </c>
      <c r="F60" s="5" t="s">
        <v>108</v>
      </c>
      <c r="G60" s="5" t="s">
        <v>108</v>
      </c>
      <c r="H60" s="5">
        <f t="shared" si="1"/>
        <v>1</v>
      </c>
      <c r="I60" s="2"/>
      <c r="J60" s="2"/>
      <c r="K60" s="2"/>
      <c r="L60" s="2"/>
    </row>
    <row r="61" spans="1:12" ht="60" customHeight="1">
      <c r="A61" s="11" t="s">
        <v>251</v>
      </c>
      <c r="B61" s="11" t="s">
        <v>252</v>
      </c>
      <c r="C61" s="6" t="s">
        <v>253</v>
      </c>
      <c r="D61" s="6" t="s">
        <v>254</v>
      </c>
      <c r="E61" s="6" t="s">
        <v>113</v>
      </c>
      <c r="F61" s="6" t="s">
        <v>115</v>
      </c>
      <c r="G61" s="6" t="s">
        <v>115</v>
      </c>
      <c r="H61" s="6">
        <f t="shared" si="1"/>
        <v>1</v>
      </c>
      <c r="I61" s="2"/>
      <c r="J61" s="2"/>
      <c r="K61" s="2"/>
      <c r="L61" s="2"/>
    </row>
    <row r="62" spans="1:12" ht="60" customHeight="1">
      <c r="A62" s="10" t="s">
        <v>251</v>
      </c>
      <c r="B62" s="10" t="s">
        <v>252</v>
      </c>
      <c r="C62" s="5" t="s">
        <v>255</v>
      </c>
      <c r="D62" s="5" t="s">
        <v>256</v>
      </c>
      <c r="E62" s="5" t="s">
        <v>113</v>
      </c>
      <c r="F62" s="5" t="s">
        <v>115</v>
      </c>
      <c r="G62" s="5" t="s">
        <v>115</v>
      </c>
      <c r="H62" s="5">
        <f t="shared" si="1"/>
        <v>1</v>
      </c>
      <c r="I62" s="2"/>
      <c r="J62" s="2"/>
      <c r="K62" s="2"/>
      <c r="L62" s="2"/>
    </row>
    <row r="63" spans="1:12" ht="75" customHeight="1">
      <c r="A63" s="11" t="s">
        <v>257</v>
      </c>
      <c r="B63" s="11" t="s">
        <v>252</v>
      </c>
      <c r="C63" s="6" t="s">
        <v>258</v>
      </c>
      <c r="D63" s="6" t="s">
        <v>259</v>
      </c>
      <c r="E63" s="6" t="s">
        <v>247</v>
      </c>
      <c r="F63" s="6" t="s">
        <v>108</v>
      </c>
      <c r="G63" s="6" t="s">
        <v>108</v>
      </c>
      <c r="H63" s="6">
        <f t="shared" si="1"/>
        <v>1</v>
      </c>
      <c r="I63" s="2"/>
      <c r="J63" s="2"/>
      <c r="K63" s="2"/>
      <c r="L63" s="2"/>
    </row>
    <row r="64" spans="1:12" ht="75" customHeight="1">
      <c r="A64" s="10" t="s">
        <v>257</v>
      </c>
      <c r="B64" s="10" t="s">
        <v>252</v>
      </c>
      <c r="C64" s="5" t="s">
        <v>260</v>
      </c>
      <c r="D64" s="5" t="s">
        <v>261</v>
      </c>
      <c r="E64" s="5" t="s">
        <v>247</v>
      </c>
      <c r="F64" s="5" t="s">
        <v>108</v>
      </c>
      <c r="G64" s="5" t="s">
        <v>108</v>
      </c>
      <c r="H64" s="5">
        <f t="shared" si="1"/>
        <v>1</v>
      </c>
      <c r="I64" s="2"/>
      <c r="J64" s="2"/>
      <c r="K64" s="2"/>
      <c r="L64" s="2"/>
    </row>
    <row r="65" spans="1:12" ht="75" customHeight="1">
      <c r="A65" s="11" t="s">
        <v>262</v>
      </c>
      <c r="B65" s="11" t="s">
        <v>252</v>
      </c>
      <c r="C65" s="6" t="s">
        <v>263</v>
      </c>
      <c r="D65" s="6" t="s">
        <v>264</v>
      </c>
      <c r="E65" s="6" t="s">
        <v>35</v>
      </c>
      <c r="F65" s="6" t="s">
        <v>19</v>
      </c>
      <c r="G65" s="6" t="s">
        <v>19</v>
      </c>
      <c r="H65" s="6">
        <f t="shared" si="1"/>
        <v>1</v>
      </c>
      <c r="I65" s="2"/>
      <c r="J65" s="2"/>
      <c r="K65" s="2"/>
      <c r="L65" s="2"/>
    </row>
    <row r="66" spans="1:12" ht="75" customHeight="1">
      <c r="A66" s="10" t="s">
        <v>262</v>
      </c>
      <c r="B66" s="10" t="s">
        <v>252</v>
      </c>
      <c r="C66" s="5" t="s">
        <v>265</v>
      </c>
      <c r="D66" s="5" t="s">
        <v>266</v>
      </c>
      <c r="E66" s="5" t="s">
        <v>35</v>
      </c>
      <c r="F66" s="5" t="s">
        <v>19</v>
      </c>
      <c r="G66" s="5" t="s">
        <v>19</v>
      </c>
      <c r="H66" s="5">
        <f t="shared" ref="H66:H97" si="2">IF(TRIM(F66)=TRIM(G66),1,0)</f>
        <v>1</v>
      </c>
      <c r="I66" s="2"/>
      <c r="J66" s="2"/>
      <c r="K66" s="2"/>
      <c r="L66" s="2"/>
    </row>
    <row r="67" spans="1:12" ht="46" customHeight="1">
      <c r="A67" s="11" t="s">
        <v>267</v>
      </c>
      <c r="B67" s="11" t="s">
        <v>252</v>
      </c>
      <c r="C67" s="6" t="s">
        <v>268</v>
      </c>
      <c r="D67" s="6" t="s">
        <v>269</v>
      </c>
      <c r="E67" s="6" t="s">
        <v>247</v>
      </c>
      <c r="F67" s="6" t="s">
        <v>108</v>
      </c>
      <c r="G67" s="6" t="s">
        <v>108</v>
      </c>
      <c r="H67" s="6">
        <f t="shared" si="2"/>
        <v>1</v>
      </c>
      <c r="I67" s="2"/>
      <c r="J67" s="2"/>
      <c r="K67" s="2"/>
      <c r="L67" s="2"/>
    </row>
    <row r="68" spans="1:12" ht="60" customHeight="1">
      <c r="A68" s="10" t="s">
        <v>270</v>
      </c>
      <c r="B68" s="10" t="s">
        <v>252</v>
      </c>
      <c r="C68" s="5" t="s">
        <v>271</v>
      </c>
      <c r="D68" s="5" t="s">
        <v>272</v>
      </c>
      <c r="E68" s="5" t="s">
        <v>273</v>
      </c>
      <c r="F68" s="9" t="s">
        <v>274</v>
      </c>
      <c r="G68" s="9" t="s">
        <v>274</v>
      </c>
      <c r="H68" s="24">
        <f t="shared" si="2"/>
        <v>1</v>
      </c>
      <c r="I68" s="2"/>
      <c r="J68" s="2"/>
      <c r="K68" s="2"/>
      <c r="L68" s="2"/>
    </row>
    <row r="69" spans="1:12" ht="60" customHeight="1">
      <c r="A69" s="11" t="s">
        <v>275</v>
      </c>
      <c r="B69" s="11" t="s">
        <v>252</v>
      </c>
      <c r="C69" s="6" t="s">
        <v>276</v>
      </c>
      <c r="D69" s="6" t="s">
        <v>277</v>
      </c>
      <c r="E69" s="6" t="s">
        <v>273</v>
      </c>
      <c r="F69" s="8" t="s">
        <v>274</v>
      </c>
      <c r="G69" s="8" t="s">
        <v>274</v>
      </c>
      <c r="H69" s="25">
        <f t="shared" si="2"/>
        <v>1</v>
      </c>
      <c r="I69" s="2"/>
      <c r="J69" s="2"/>
      <c r="K69" s="2"/>
      <c r="L69" s="2"/>
    </row>
    <row r="70" spans="1:12" ht="46" customHeight="1">
      <c r="A70" s="10" t="s">
        <v>278</v>
      </c>
      <c r="B70" s="10" t="s">
        <v>252</v>
      </c>
      <c r="C70" s="5" t="s">
        <v>279</v>
      </c>
      <c r="D70" s="5" t="s">
        <v>280</v>
      </c>
      <c r="E70" s="5" t="s">
        <v>281</v>
      </c>
      <c r="F70" s="9" t="s">
        <v>274</v>
      </c>
      <c r="G70" s="9" t="s">
        <v>274</v>
      </c>
      <c r="H70" s="24">
        <f t="shared" si="2"/>
        <v>1</v>
      </c>
      <c r="I70" s="2"/>
      <c r="J70" s="2"/>
      <c r="K70" s="2"/>
      <c r="L70" s="2"/>
    </row>
    <row r="71" spans="1:12" ht="46" customHeight="1">
      <c r="A71" s="11" t="s">
        <v>278</v>
      </c>
      <c r="B71" s="11" t="s">
        <v>252</v>
      </c>
      <c r="C71" s="6" t="s">
        <v>282</v>
      </c>
      <c r="D71" s="6" t="s">
        <v>283</v>
      </c>
      <c r="E71" s="6" t="s">
        <v>283</v>
      </c>
      <c r="F71" s="6" t="s">
        <v>150</v>
      </c>
      <c r="G71" s="6" t="s">
        <v>150</v>
      </c>
      <c r="H71" s="6">
        <f t="shared" si="2"/>
        <v>1</v>
      </c>
      <c r="I71" s="2"/>
      <c r="J71" s="2"/>
      <c r="K71" s="2"/>
      <c r="L71" s="2"/>
    </row>
    <row r="72" spans="1:12" ht="60" customHeight="1">
      <c r="A72" s="10" t="s">
        <v>284</v>
      </c>
      <c r="B72" s="10" t="s">
        <v>285</v>
      </c>
      <c r="C72" s="5" t="s">
        <v>286</v>
      </c>
      <c r="D72" s="5" t="s">
        <v>287</v>
      </c>
      <c r="E72" s="5" t="s">
        <v>288</v>
      </c>
      <c r="F72" s="5" t="s">
        <v>56</v>
      </c>
      <c r="G72" s="5" t="s">
        <v>56</v>
      </c>
      <c r="H72" s="5">
        <f t="shared" si="2"/>
        <v>1</v>
      </c>
      <c r="I72" s="2"/>
      <c r="J72" s="2"/>
      <c r="K72" s="2"/>
      <c r="L72" s="2"/>
    </row>
    <row r="73" spans="1:12" ht="90" customHeight="1">
      <c r="A73" s="11" t="s">
        <v>289</v>
      </c>
      <c r="B73" s="11" t="s">
        <v>290</v>
      </c>
      <c r="C73" s="6" t="s">
        <v>291</v>
      </c>
      <c r="D73" s="6" t="s">
        <v>292</v>
      </c>
      <c r="E73" s="6" t="s">
        <v>293</v>
      </c>
      <c r="F73" s="6" t="s">
        <v>19</v>
      </c>
      <c r="G73" s="6" t="s">
        <v>19</v>
      </c>
      <c r="H73" s="6">
        <f t="shared" si="2"/>
        <v>1</v>
      </c>
      <c r="I73" s="2"/>
      <c r="J73" s="2"/>
      <c r="K73" s="2"/>
      <c r="L73" s="2"/>
    </row>
    <row r="74" spans="1:12" ht="60" customHeight="1">
      <c r="A74" s="10" t="s">
        <v>294</v>
      </c>
      <c r="B74" s="10" t="s">
        <v>290</v>
      </c>
      <c r="C74" s="5" t="s">
        <v>295</v>
      </c>
      <c r="D74" s="5" t="s">
        <v>296</v>
      </c>
      <c r="E74" s="5" t="s">
        <v>247</v>
      </c>
      <c r="F74" s="5" t="s">
        <v>108</v>
      </c>
      <c r="G74" s="5" t="s">
        <v>108</v>
      </c>
      <c r="H74" s="5">
        <f t="shared" si="2"/>
        <v>1</v>
      </c>
      <c r="I74" s="2"/>
      <c r="J74" s="2"/>
      <c r="K74" s="2"/>
      <c r="L74" s="2"/>
    </row>
    <row r="75" spans="1:12" ht="60" customHeight="1">
      <c r="A75" s="11" t="s">
        <v>297</v>
      </c>
      <c r="B75" s="11" t="s">
        <v>290</v>
      </c>
      <c r="C75" s="6" t="s">
        <v>298</v>
      </c>
      <c r="D75" s="6" t="s">
        <v>299</v>
      </c>
      <c r="E75" s="6" t="s">
        <v>113</v>
      </c>
      <c r="F75" s="6" t="s">
        <v>115</v>
      </c>
      <c r="G75" s="6" t="s">
        <v>116</v>
      </c>
      <c r="H75" s="6">
        <f t="shared" si="2"/>
        <v>0</v>
      </c>
      <c r="I75" s="2"/>
      <c r="J75" s="2"/>
      <c r="K75" s="2"/>
      <c r="L75" s="2"/>
    </row>
    <row r="76" spans="1:12" ht="75" customHeight="1">
      <c r="A76" s="10" t="s">
        <v>300</v>
      </c>
      <c r="B76" s="10" t="s">
        <v>290</v>
      </c>
      <c r="C76" s="5" t="s">
        <v>301</v>
      </c>
      <c r="D76" s="5" t="s">
        <v>302</v>
      </c>
      <c r="E76" s="5" t="s">
        <v>232</v>
      </c>
      <c r="F76" s="5" t="s">
        <v>56</v>
      </c>
      <c r="G76" s="5" t="s">
        <v>56</v>
      </c>
      <c r="H76" s="5">
        <f t="shared" si="2"/>
        <v>1</v>
      </c>
      <c r="I76" s="2"/>
      <c r="J76" s="2"/>
      <c r="K76" s="2"/>
      <c r="L76" s="2"/>
    </row>
    <row r="77" spans="1:12" ht="75" customHeight="1">
      <c r="A77" s="11" t="s">
        <v>300</v>
      </c>
      <c r="B77" s="11" t="s">
        <v>290</v>
      </c>
      <c r="C77" s="6" t="s">
        <v>303</v>
      </c>
      <c r="D77" s="6" t="s">
        <v>304</v>
      </c>
      <c r="E77" s="6" t="s">
        <v>228</v>
      </c>
      <c r="F77" s="6" t="s">
        <v>115</v>
      </c>
      <c r="G77" s="6" t="s">
        <v>115</v>
      </c>
      <c r="H77" s="6">
        <f t="shared" si="2"/>
        <v>1</v>
      </c>
      <c r="I77" s="2"/>
      <c r="J77" s="2"/>
      <c r="K77" s="2"/>
      <c r="L77" s="2"/>
    </row>
    <row r="78" spans="1:12" ht="60" customHeight="1">
      <c r="A78" s="10" t="s">
        <v>305</v>
      </c>
      <c r="B78" s="10" t="s">
        <v>290</v>
      </c>
      <c r="C78" s="5" t="s">
        <v>306</v>
      </c>
      <c r="D78" s="5" t="s">
        <v>307</v>
      </c>
      <c r="E78" s="5" t="s">
        <v>308</v>
      </c>
      <c r="F78" s="5" t="s">
        <v>56</v>
      </c>
      <c r="G78" s="5" t="s">
        <v>56</v>
      </c>
      <c r="H78" s="5">
        <f t="shared" si="2"/>
        <v>1</v>
      </c>
      <c r="I78" s="2"/>
      <c r="J78" s="2"/>
      <c r="K78" s="2"/>
      <c r="L78" s="2"/>
    </row>
    <row r="79" spans="1:12" ht="90" customHeight="1">
      <c r="A79" s="11" t="s">
        <v>309</v>
      </c>
      <c r="B79" s="11" t="s">
        <v>310</v>
      </c>
      <c r="C79" s="6" t="s">
        <v>311</v>
      </c>
      <c r="D79" s="6" t="s">
        <v>312</v>
      </c>
      <c r="E79" s="6" t="s">
        <v>313</v>
      </c>
      <c r="F79" s="6" t="s">
        <v>115</v>
      </c>
      <c r="G79" s="6" t="s">
        <v>115</v>
      </c>
      <c r="H79" s="6">
        <f t="shared" si="2"/>
        <v>1</v>
      </c>
      <c r="I79" s="2"/>
      <c r="J79" s="2"/>
      <c r="K79" s="2"/>
      <c r="L79" s="2"/>
    </row>
    <row r="80" spans="1:12" ht="90" customHeight="1">
      <c r="A80" s="10" t="s">
        <v>309</v>
      </c>
      <c r="B80" s="10" t="s">
        <v>310</v>
      </c>
      <c r="C80" s="5" t="s">
        <v>314</v>
      </c>
      <c r="D80" s="5" t="s">
        <v>315</v>
      </c>
      <c r="E80" s="5" t="s">
        <v>316</v>
      </c>
      <c r="F80" s="5" t="s">
        <v>19</v>
      </c>
      <c r="G80" s="5" t="s">
        <v>19</v>
      </c>
      <c r="H80" s="5">
        <f t="shared" si="2"/>
        <v>1</v>
      </c>
      <c r="I80" s="2"/>
      <c r="J80" s="2"/>
      <c r="K80" s="2"/>
      <c r="L80" s="2"/>
    </row>
    <row r="81" spans="1:12" ht="60" customHeight="1">
      <c r="A81" s="11" t="s">
        <v>317</v>
      </c>
      <c r="B81" s="11" t="s">
        <v>310</v>
      </c>
      <c r="C81" s="6" t="s">
        <v>318</v>
      </c>
      <c r="D81" s="6" t="s">
        <v>319</v>
      </c>
      <c r="E81" s="6" t="s">
        <v>194</v>
      </c>
      <c r="F81" s="6" t="s">
        <v>209</v>
      </c>
      <c r="G81" s="6" t="s">
        <v>209</v>
      </c>
      <c r="H81" s="6">
        <f t="shared" si="2"/>
        <v>1</v>
      </c>
      <c r="I81" s="2"/>
      <c r="J81" s="2"/>
      <c r="K81" s="2"/>
      <c r="L81" s="2"/>
    </row>
    <row r="82" spans="1:12" ht="90" customHeight="1">
      <c r="A82" s="10" t="s">
        <v>320</v>
      </c>
      <c r="B82" s="10" t="s">
        <v>310</v>
      </c>
      <c r="C82" s="5" t="s">
        <v>321</v>
      </c>
      <c r="D82" s="5" t="s">
        <v>322</v>
      </c>
      <c r="E82" s="5" t="s">
        <v>323</v>
      </c>
      <c r="F82" s="5" t="s">
        <v>324</v>
      </c>
      <c r="G82" s="5" t="s">
        <v>324</v>
      </c>
      <c r="H82" s="5">
        <f t="shared" si="2"/>
        <v>1</v>
      </c>
      <c r="I82" s="2"/>
      <c r="J82" s="2"/>
      <c r="K82" s="2"/>
      <c r="L82" s="2"/>
    </row>
    <row r="83" spans="1:12" ht="60" customHeight="1">
      <c r="A83" s="11" t="s">
        <v>325</v>
      </c>
      <c r="B83" s="11" t="s">
        <v>326</v>
      </c>
      <c r="C83" s="6" t="s">
        <v>327</v>
      </c>
      <c r="D83" s="6" t="s">
        <v>328</v>
      </c>
      <c r="E83" s="6" t="s">
        <v>329</v>
      </c>
      <c r="F83" s="6" t="s">
        <v>56</v>
      </c>
      <c r="G83" s="6" t="s">
        <v>330</v>
      </c>
      <c r="H83" s="6">
        <f t="shared" si="2"/>
        <v>0</v>
      </c>
      <c r="I83" s="2"/>
      <c r="J83" s="2"/>
      <c r="K83" s="2"/>
      <c r="L83" s="2"/>
    </row>
    <row r="84" spans="1:12" ht="46" customHeight="1">
      <c r="A84" s="10" t="s">
        <v>331</v>
      </c>
      <c r="B84" s="10" t="s">
        <v>326</v>
      </c>
      <c r="C84" s="5" t="s">
        <v>332</v>
      </c>
      <c r="D84" s="5" t="s">
        <v>333</v>
      </c>
      <c r="E84" s="5" t="s">
        <v>334</v>
      </c>
      <c r="F84" s="5" t="s">
        <v>19</v>
      </c>
      <c r="G84" s="9" t="s">
        <v>47</v>
      </c>
      <c r="H84" s="24">
        <f t="shared" si="2"/>
        <v>0</v>
      </c>
      <c r="I84" s="2"/>
      <c r="J84" s="2"/>
      <c r="K84" s="2"/>
      <c r="L84" s="2"/>
    </row>
    <row r="85" spans="1:12" ht="90" customHeight="1">
      <c r="A85" s="11" t="s">
        <v>335</v>
      </c>
      <c r="B85" s="11" t="s">
        <v>326</v>
      </c>
      <c r="C85" s="6" t="s">
        <v>336</v>
      </c>
      <c r="D85" s="6" t="s">
        <v>336</v>
      </c>
      <c r="E85" s="6" t="s">
        <v>194</v>
      </c>
      <c r="F85" s="6" t="s">
        <v>42</v>
      </c>
      <c r="G85" s="6" t="s">
        <v>42</v>
      </c>
      <c r="H85" s="6">
        <f t="shared" si="2"/>
        <v>1</v>
      </c>
      <c r="I85" s="2"/>
      <c r="J85" s="2"/>
      <c r="K85" s="2"/>
      <c r="L85" s="2"/>
    </row>
    <row r="86" spans="1:12" ht="60" customHeight="1">
      <c r="A86" s="10" t="s">
        <v>335</v>
      </c>
      <c r="B86" s="10" t="s">
        <v>326</v>
      </c>
      <c r="C86" s="5" t="s">
        <v>337</v>
      </c>
      <c r="D86" s="5" t="s">
        <v>338</v>
      </c>
      <c r="E86" s="5" t="s">
        <v>225</v>
      </c>
      <c r="F86" s="9" t="s">
        <v>47</v>
      </c>
      <c r="G86" s="9" t="s">
        <v>47</v>
      </c>
      <c r="H86" s="24">
        <f t="shared" si="2"/>
        <v>1</v>
      </c>
      <c r="I86" s="2"/>
      <c r="J86" s="2"/>
      <c r="K86" s="2"/>
      <c r="L86" s="2"/>
    </row>
    <row r="87" spans="1:12" ht="60" customHeight="1">
      <c r="A87" s="11" t="s">
        <v>339</v>
      </c>
      <c r="B87" s="11" t="s">
        <v>326</v>
      </c>
      <c r="C87" s="6" t="s">
        <v>340</v>
      </c>
      <c r="D87" s="6" t="s">
        <v>341</v>
      </c>
      <c r="E87" s="6" t="s">
        <v>225</v>
      </c>
      <c r="F87" s="8" t="s">
        <v>47</v>
      </c>
      <c r="G87" s="8" t="s">
        <v>47</v>
      </c>
      <c r="H87" s="25">
        <f t="shared" si="2"/>
        <v>1</v>
      </c>
      <c r="I87" s="2"/>
      <c r="J87" s="2"/>
      <c r="K87" s="2"/>
      <c r="L87" s="2"/>
    </row>
    <row r="88" spans="1:12" ht="60" customHeight="1">
      <c r="A88" s="10" t="s">
        <v>339</v>
      </c>
      <c r="B88" s="10" t="s">
        <v>326</v>
      </c>
      <c r="C88" s="5" t="s">
        <v>342</v>
      </c>
      <c r="D88" s="5" t="s">
        <v>343</v>
      </c>
      <c r="E88" s="5" t="s">
        <v>344</v>
      </c>
      <c r="F88" s="5" t="s">
        <v>42</v>
      </c>
      <c r="G88" s="5" t="s">
        <v>146</v>
      </c>
      <c r="H88" s="5">
        <f t="shared" si="2"/>
        <v>0</v>
      </c>
      <c r="I88" s="2"/>
      <c r="J88" s="2"/>
      <c r="K88" s="2"/>
      <c r="L88" s="2"/>
    </row>
    <row r="89" spans="1:12" ht="75" customHeight="1">
      <c r="A89" s="10" t="s">
        <v>346</v>
      </c>
      <c r="B89" s="19" t="s">
        <v>345</v>
      </c>
      <c r="C89" s="5" t="s">
        <v>348</v>
      </c>
      <c r="D89" s="5" t="s">
        <v>349</v>
      </c>
      <c r="E89" s="5" t="s">
        <v>194</v>
      </c>
      <c r="F89" s="5" t="s">
        <v>42</v>
      </c>
      <c r="G89" s="5" t="s">
        <v>42</v>
      </c>
      <c r="H89" s="5">
        <f t="shared" si="2"/>
        <v>1</v>
      </c>
      <c r="I89" s="2"/>
      <c r="J89" s="2"/>
      <c r="K89" s="2"/>
      <c r="L89" s="2"/>
    </row>
    <row r="90" spans="1:12" ht="60" customHeight="1">
      <c r="A90" s="11" t="s">
        <v>346</v>
      </c>
      <c r="B90" s="19" t="s">
        <v>345</v>
      </c>
      <c r="C90" s="6" t="s">
        <v>350</v>
      </c>
      <c r="D90" s="6" t="s">
        <v>351</v>
      </c>
      <c r="E90" s="6" t="s">
        <v>225</v>
      </c>
      <c r="F90" s="8" t="s">
        <v>47</v>
      </c>
      <c r="G90" s="8" t="s">
        <v>47</v>
      </c>
      <c r="H90" s="25">
        <f t="shared" si="2"/>
        <v>1</v>
      </c>
      <c r="I90" s="2"/>
      <c r="J90" s="2"/>
      <c r="K90" s="2"/>
      <c r="L90" s="2"/>
    </row>
    <row r="91" spans="1:12" ht="60" customHeight="1">
      <c r="A91" s="10" t="s">
        <v>352</v>
      </c>
      <c r="B91" s="19" t="s">
        <v>345</v>
      </c>
      <c r="C91" s="5" t="s">
        <v>353</v>
      </c>
      <c r="D91" s="5" t="s">
        <v>354</v>
      </c>
      <c r="E91" s="5" t="s">
        <v>273</v>
      </c>
      <c r="F91" s="5" t="s">
        <v>115</v>
      </c>
      <c r="G91" s="5" t="s">
        <v>115</v>
      </c>
      <c r="H91" s="5">
        <f t="shared" si="2"/>
        <v>1</v>
      </c>
      <c r="I91" s="2"/>
      <c r="J91" s="2"/>
      <c r="K91" s="2"/>
      <c r="L91" s="2"/>
    </row>
    <row r="92" spans="1:12" ht="75" customHeight="1">
      <c r="A92" s="11" t="s">
        <v>355</v>
      </c>
      <c r="B92" s="19" t="s">
        <v>345</v>
      </c>
      <c r="C92" s="6" t="s">
        <v>356</v>
      </c>
      <c r="D92" s="6" t="s">
        <v>357</v>
      </c>
      <c r="E92" s="6" t="s">
        <v>247</v>
      </c>
      <c r="F92" s="6" t="s">
        <v>108</v>
      </c>
      <c r="G92" s="6" t="s">
        <v>108</v>
      </c>
      <c r="H92" s="6">
        <f t="shared" si="2"/>
        <v>1</v>
      </c>
      <c r="I92" s="2"/>
      <c r="J92" s="2"/>
      <c r="K92" s="2"/>
      <c r="L92" s="2"/>
    </row>
    <row r="93" spans="1:12" ht="46" customHeight="1">
      <c r="A93" s="10" t="s">
        <v>358</v>
      </c>
      <c r="B93" s="19" t="s">
        <v>345</v>
      </c>
      <c r="C93" s="5" t="s">
        <v>359</v>
      </c>
      <c r="D93" s="5" t="s">
        <v>360</v>
      </c>
      <c r="E93" s="5" t="s">
        <v>113</v>
      </c>
      <c r="F93" s="5" t="s">
        <v>115</v>
      </c>
      <c r="G93" s="5" t="s">
        <v>115</v>
      </c>
      <c r="H93" s="5">
        <f t="shared" si="2"/>
        <v>1</v>
      </c>
      <c r="I93" s="2"/>
      <c r="J93" s="2"/>
      <c r="K93" s="2"/>
      <c r="L93" s="2"/>
    </row>
    <row r="94" spans="1:12" ht="60" customHeight="1">
      <c r="A94" s="11" t="s">
        <v>361</v>
      </c>
      <c r="B94" s="19" t="s">
        <v>345</v>
      </c>
      <c r="C94" s="6" t="s">
        <v>362</v>
      </c>
      <c r="D94" s="6" t="s">
        <v>363</v>
      </c>
      <c r="E94" s="6" t="s">
        <v>363</v>
      </c>
      <c r="F94" s="6" t="s">
        <v>115</v>
      </c>
      <c r="G94" s="6" t="s">
        <v>115</v>
      </c>
      <c r="H94" s="6">
        <f t="shared" si="2"/>
        <v>1</v>
      </c>
      <c r="I94" s="2"/>
      <c r="J94" s="2"/>
      <c r="K94" s="2"/>
      <c r="L94" s="2"/>
    </row>
    <row r="95" spans="1:12" ht="60" customHeight="1">
      <c r="A95" s="10" t="s">
        <v>361</v>
      </c>
      <c r="B95" s="19" t="s">
        <v>345</v>
      </c>
      <c r="C95" s="5" t="s">
        <v>364</v>
      </c>
      <c r="D95" s="5" t="s">
        <v>365</v>
      </c>
      <c r="E95" s="5" t="s">
        <v>216</v>
      </c>
      <c r="F95" s="5" t="s">
        <v>115</v>
      </c>
      <c r="G95" s="5" t="s">
        <v>115</v>
      </c>
      <c r="H95" s="5">
        <f t="shared" si="2"/>
        <v>1</v>
      </c>
      <c r="I95" s="2"/>
      <c r="J95" s="2"/>
      <c r="K95" s="2"/>
      <c r="L95" s="2"/>
    </row>
    <row r="96" spans="1:12" ht="60" customHeight="1">
      <c r="A96" s="11" t="s">
        <v>366</v>
      </c>
      <c r="B96" s="19" t="s">
        <v>345</v>
      </c>
      <c r="C96" s="6" t="s">
        <v>367</v>
      </c>
      <c r="D96" s="6" t="s">
        <v>368</v>
      </c>
      <c r="E96" s="6" t="s">
        <v>99</v>
      </c>
      <c r="F96" s="6" t="s">
        <v>56</v>
      </c>
      <c r="G96" s="6" t="s">
        <v>56</v>
      </c>
      <c r="H96" s="6">
        <f t="shared" si="2"/>
        <v>1</v>
      </c>
      <c r="I96" s="2"/>
      <c r="J96" s="2"/>
      <c r="K96" s="2"/>
      <c r="L96" s="2"/>
    </row>
    <row r="97" spans="1:12" ht="60" customHeight="1">
      <c r="A97" s="10" t="s">
        <v>369</v>
      </c>
      <c r="B97" s="19" t="s">
        <v>345</v>
      </c>
      <c r="C97" s="5" t="s">
        <v>370</v>
      </c>
      <c r="D97" s="5" t="s">
        <v>371</v>
      </c>
      <c r="E97" s="5" t="s">
        <v>113</v>
      </c>
      <c r="F97" s="5" t="s">
        <v>115</v>
      </c>
      <c r="G97" s="5" t="s">
        <v>115</v>
      </c>
      <c r="H97" s="5">
        <f t="shared" si="2"/>
        <v>1</v>
      </c>
      <c r="I97" s="2"/>
      <c r="J97" s="2"/>
      <c r="K97" s="2"/>
      <c r="L97" s="2"/>
    </row>
    <row r="98" spans="1:12" ht="60" customHeight="1">
      <c r="A98" s="11" t="s">
        <v>222</v>
      </c>
      <c r="B98" s="20" t="s">
        <v>347</v>
      </c>
      <c r="C98" s="6" t="s">
        <v>223</v>
      </c>
      <c r="D98" s="6" t="s">
        <v>224</v>
      </c>
      <c r="E98" s="6" t="s">
        <v>225</v>
      </c>
      <c r="F98" s="8" t="s">
        <v>47</v>
      </c>
      <c r="G98" s="8" t="s">
        <v>47</v>
      </c>
      <c r="H98" s="25">
        <f t="shared" ref="H98:H129" si="3">IF(TRIM(F98)=TRIM(G98),1,0)</f>
        <v>1</v>
      </c>
      <c r="I98" s="2"/>
      <c r="J98" s="2"/>
      <c r="K98" s="2"/>
      <c r="L98" s="2"/>
    </row>
    <row r="99" spans="1:12" ht="60" customHeight="1">
      <c r="A99" s="11" t="s">
        <v>372</v>
      </c>
      <c r="B99" s="20" t="s">
        <v>347</v>
      </c>
      <c r="C99" s="6" t="s">
        <v>373</v>
      </c>
      <c r="D99" s="6" t="s">
        <v>374</v>
      </c>
      <c r="E99" s="6" t="s">
        <v>194</v>
      </c>
      <c r="F99" s="6" t="s">
        <v>42</v>
      </c>
      <c r="G99" s="8" t="s">
        <v>375</v>
      </c>
      <c r="H99" s="25">
        <f t="shared" si="3"/>
        <v>0</v>
      </c>
      <c r="I99" s="2"/>
      <c r="J99" s="2"/>
      <c r="K99" s="2"/>
      <c r="L99" s="2"/>
    </row>
    <row r="100" spans="1:12" ht="60" customHeight="1">
      <c r="A100" s="10" t="s">
        <v>372</v>
      </c>
      <c r="B100" s="20" t="s">
        <v>347</v>
      </c>
      <c r="C100" s="5" t="s">
        <v>376</v>
      </c>
      <c r="D100" s="5" t="s">
        <v>377</v>
      </c>
      <c r="E100" s="5" t="s">
        <v>177</v>
      </c>
      <c r="F100" s="5" t="s">
        <v>56</v>
      </c>
      <c r="G100" s="5" t="s">
        <v>56</v>
      </c>
      <c r="H100" s="5">
        <f t="shared" si="3"/>
        <v>1</v>
      </c>
      <c r="I100" s="2"/>
      <c r="J100" s="2"/>
      <c r="K100" s="2"/>
      <c r="L100" s="2"/>
    </row>
    <row r="101" spans="1:12" ht="60" customHeight="1">
      <c r="A101" s="11" t="s">
        <v>372</v>
      </c>
      <c r="B101" s="20" t="s">
        <v>347</v>
      </c>
      <c r="C101" s="6" t="s">
        <v>378</v>
      </c>
      <c r="D101" s="6" t="s">
        <v>379</v>
      </c>
      <c r="E101" s="6" t="s">
        <v>273</v>
      </c>
      <c r="F101" s="6" t="s">
        <v>115</v>
      </c>
      <c r="G101" s="6" t="s">
        <v>115</v>
      </c>
      <c r="H101" s="6">
        <f t="shared" si="3"/>
        <v>1</v>
      </c>
      <c r="I101" s="2"/>
      <c r="J101" s="2"/>
      <c r="K101" s="2"/>
      <c r="L101" s="2"/>
    </row>
    <row r="102" spans="1:12" ht="46" customHeight="1">
      <c r="A102" s="10" t="s">
        <v>380</v>
      </c>
      <c r="B102" s="20" t="s">
        <v>347</v>
      </c>
      <c r="C102" s="5" t="s">
        <v>381</v>
      </c>
      <c r="D102" s="5" t="s">
        <v>382</v>
      </c>
      <c r="E102" s="5" t="s">
        <v>225</v>
      </c>
      <c r="F102" s="9" t="s">
        <v>47</v>
      </c>
      <c r="G102" s="9" t="s">
        <v>47</v>
      </c>
      <c r="H102" s="24">
        <f t="shared" si="3"/>
        <v>1</v>
      </c>
      <c r="I102" s="2"/>
      <c r="J102" s="2"/>
      <c r="K102" s="2"/>
      <c r="L102" s="2"/>
    </row>
    <row r="103" spans="1:12" ht="60" customHeight="1">
      <c r="A103" s="11" t="s">
        <v>383</v>
      </c>
      <c r="B103" s="20" t="s">
        <v>347</v>
      </c>
      <c r="C103" s="6" t="s">
        <v>384</v>
      </c>
      <c r="D103" s="6" t="s">
        <v>385</v>
      </c>
      <c r="E103" s="6" t="s">
        <v>113</v>
      </c>
      <c r="F103" s="6" t="s">
        <v>115</v>
      </c>
      <c r="G103" s="6" t="s">
        <v>115</v>
      </c>
      <c r="H103" s="6">
        <f t="shared" si="3"/>
        <v>1</v>
      </c>
      <c r="I103" s="2"/>
      <c r="J103" s="2"/>
      <c r="K103" s="2"/>
      <c r="L103" s="2"/>
    </row>
    <row r="104" spans="1:12" ht="60" customHeight="1">
      <c r="A104" s="10" t="s">
        <v>386</v>
      </c>
      <c r="B104" s="20" t="s">
        <v>347</v>
      </c>
      <c r="C104" s="5" t="s">
        <v>387</v>
      </c>
      <c r="D104" s="5" t="s">
        <v>388</v>
      </c>
      <c r="E104" s="5" t="s">
        <v>389</v>
      </c>
      <c r="F104" s="5" t="s">
        <v>42</v>
      </c>
      <c r="G104" s="5" t="s">
        <v>42</v>
      </c>
      <c r="H104" s="5">
        <f t="shared" si="3"/>
        <v>1</v>
      </c>
      <c r="I104" s="2"/>
      <c r="J104" s="2"/>
      <c r="K104" s="2"/>
      <c r="L104" s="2"/>
    </row>
    <row r="105" spans="1:12" ht="46" customHeight="1">
      <c r="A105" s="11" t="s">
        <v>390</v>
      </c>
      <c r="B105" s="20" t="s">
        <v>455</v>
      </c>
      <c r="C105" s="6" t="s">
        <v>392</v>
      </c>
      <c r="D105" s="6" t="s">
        <v>393</v>
      </c>
      <c r="E105" s="6" t="s">
        <v>194</v>
      </c>
      <c r="F105" s="6" t="s">
        <v>42</v>
      </c>
      <c r="G105" s="6" t="s">
        <v>42</v>
      </c>
      <c r="H105" s="6">
        <f t="shared" si="3"/>
        <v>1</v>
      </c>
      <c r="I105" s="2"/>
      <c r="J105" s="2"/>
      <c r="K105" s="2"/>
      <c r="L105" s="2"/>
    </row>
    <row r="106" spans="1:12" ht="60" customHeight="1">
      <c r="A106" s="10" t="s">
        <v>394</v>
      </c>
      <c r="B106" s="20" t="s">
        <v>455</v>
      </c>
      <c r="C106" s="5" t="s">
        <v>395</v>
      </c>
      <c r="D106" s="5" t="s">
        <v>396</v>
      </c>
      <c r="E106" s="5" t="s">
        <v>273</v>
      </c>
      <c r="F106" s="5" t="s">
        <v>115</v>
      </c>
      <c r="G106" s="5" t="s">
        <v>115</v>
      </c>
      <c r="H106" s="5">
        <f t="shared" si="3"/>
        <v>1</v>
      </c>
      <c r="I106" s="2"/>
      <c r="J106" s="2"/>
      <c r="K106" s="2"/>
      <c r="L106" s="2"/>
    </row>
    <row r="107" spans="1:12" ht="75" customHeight="1">
      <c r="A107" s="11" t="s">
        <v>397</v>
      </c>
      <c r="B107" s="20" t="s">
        <v>455</v>
      </c>
      <c r="C107" s="6" t="s">
        <v>398</v>
      </c>
      <c r="D107" s="6" t="s">
        <v>399</v>
      </c>
      <c r="E107" s="6" t="s">
        <v>99</v>
      </c>
      <c r="F107" s="6" t="s">
        <v>56</v>
      </c>
      <c r="G107" s="6" t="s">
        <v>56</v>
      </c>
      <c r="H107" s="6">
        <f t="shared" si="3"/>
        <v>1</v>
      </c>
      <c r="I107" s="2"/>
      <c r="J107" s="2"/>
      <c r="K107" s="2"/>
      <c r="L107" s="2"/>
    </row>
    <row r="108" spans="1:12" ht="75" customHeight="1">
      <c r="A108" s="10" t="s">
        <v>397</v>
      </c>
      <c r="B108" s="20" t="s">
        <v>455</v>
      </c>
      <c r="C108" s="5" t="s">
        <v>400</v>
      </c>
      <c r="D108" s="5" t="s">
        <v>401</v>
      </c>
      <c r="E108" s="5" t="s">
        <v>402</v>
      </c>
      <c r="F108" s="5" t="s">
        <v>19</v>
      </c>
      <c r="G108" s="5" t="s">
        <v>19</v>
      </c>
      <c r="H108" s="5">
        <f t="shared" si="3"/>
        <v>1</v>
      </c>
      <c r="I108" s="2"/>
      <c r="J108" s="2"/>
      <c r="K108" s="2"/>
      <c r="L108" s="2"/>
    </row>
    <row r="109" spans="1:12" ht="75" customHeight="1">
      <c r="A109" s="11" t="s">
        <v>403</v>
      </c>
      <c r="B109" s="20" t="s">
        <v>391</v>
      </c>
      <c r="C109" s="6" t="s">
        <v>405</v>
      </c>
      <c r="D109" s="6" t="s">
        <v>406</v>
      </c>
      <c r="E109" s="6" t="s">
        <v>247</v>
      </c>
      <c r="F109" s="6" t="s">
        <v>108</v>
      </c>
      <c r="G109" s="6" t="s">
        <v>108</v>
      </c>
      <c r="H109" s="6">
        <f t="shared" si="3"/>
        <v>1</v>
      </c>
      <c r="I109" s="2"/>
      <c r="J109" s="2"/>
      <c r="K109" s="2"/>
      <c r="L109" s="2"/>
    </row>
    <row r="110" spans="1:12" ht="75" customHeight="1">
      <c r="A110" s="10" t="s">
        <v>403</v>
      </c>
      <c r="B110" s="20" t="s">
        <v>391</v>
      </c>
      <c r="C110" s="5" t="s">
        <v>407</v>
      </c>
      <c r="D110" s="5" t="s">
        <v>408</v>
      </c>
      <c r="E110" s="5" t="s">
        <v>35</v>
      </c>
      <c r="F110" s="5" t="s">
        <v>19</v>
      </c>
      <c r="G110" s="5" t="s">
        <v>19</v>
      </c>
      <c r="H110" s="5">
        <f t="shared" si="3"/>
        <v>1</v>
      </c>
      <c r="I110" s="2"/>
      <c r="J110" s="2"/>
      <c r="K110" s="2"/>
      <c r="L110" s="2"/>
    </row>
    <row r="111" spans="1:12" ht="60" customHeight="1">
      <c r="A111" s="11" t="s">
        <v>409</v>
      </c>
      <c r="B111" s="20" t="s">
        <v>391</v>
      </c>
      <c r="C111" s="6" t="s">
        <v>410</v>
      </c>
      <c r="D111" s="6" t="s">
        <v>411</v>
      </c>
      <c r="E111" s="6" t="s">
        <v>247</v>
      </c>
      <c r="F111" s="6" t="s">
        <v>108</v>
      </c>
      <c r="G111" s="6" t="s">
        <v>108</v>
      </c>
      <c r="H111" s="6">
        <f t="shared" si="3"/>
        <v>1</v>
      </c>
      <c r="I111" s="2"/>
      <c r="J111" s="2"/>
      <c r="K111" s="2"/>
      <c r="L111" s="2"/>
    </row>
    <row r="112" spans="1:12" ht="60" customHeight="1">
      <c r="A112" s="10" t="s">
        <v>412</v>
      </c>
      <c r="B112" s="20" t="s">
        <v>391</v>
      </c>
      <c r="C112" s="5" t="s">
        <v>413</v>
      </c>
      <c r="D112" s="5" t="s">
        <v>414</v>
      </c>
      <c r="E112" s="5" t="s">
        <v>415</v>
      </c>
      <c r="F112" s="5" t="s">
        <v>416</v>
      </c>
      <c r="G112" s="5" t="s">
        <v>416</v>
      </c>
      <c r="H112" s="5">
        <f t="shared" si="3"/>
        <v>1</v>
      </c>
      <c r="I112" s="2"/>
      <c r="J112" s="2"/>
      <c r="K112" s="2"/>
      <c r="L112" s="2"/>
    </row>
    <row r="113" spans="1:12" ht="60" customHeight="1">
      <c r="A113" s="11" t="s">
        <v>417</v>
      </c>
      <c r="B113" s="20" t="s">
        <v>391</v>
      </c>
      <c r="C113" s="6" t="s">
        <v>418</v>
      </c>
      <c r="D113" s="6" t="s">
        <v>419</v>
      </c>
      <c r="E113" s="6" t="s">
        <v>420</v>
      </c>
      <c r="F113" s="6" t="s">
        <v>115</v>
      </c>
      <c r="G113" s="6" t="s">
        <v>115</v>
      </c>
      <c r="H113" s="6">
        <f t="shared" si="3"/>
        <v>1</v>
      </c>
      <c r="I113" s="2"/>
      <c r="J113" s="2"/>
      <c r="K113" s="2"/>
      <c r="L113" s="2"/>
    </row>
    <row r="114" spans="1:12" ht="75" customHeight="1">
      <c r="A114" s="10" t="s">
        <v>421</v>
      </c>
      <c r="B114" s="19" t="s">
        <v>404</v>
      </c>
      <c r="C114" s="5" t="s">
        <v>423</v>
      </c>
      <c r="D114" s="5" t="s">
        <v>424</v>
      </c>
      <c r="E114" s="5" t="s">
        <v>177</v>
      </c>
      <c r="F114" s="5" t="s">
        <v>56</v>
      </c>
      <c r="G114" s="5" t="s">
        <v>425</v>
      </c>
      <c r="H114" s="5">
        <f t="shared" si="3"/>
        <v>0</v>
      </c>
      <c r="I114" s="2"/>
      <c r="J114" s="2"/>
      <c r="K114" s="2"/>
      <c r="L114" s="2"/>
    </row>
    <row r="115" spans="1:12" ht="75" customHeight="1">
      <c r="A115" s="11" t="s">
        <v>421</v>
      </c>
      <c r="B115" s="19" t="s">
        <v>404</v>
      </c>
      <c r="C115" s="6" t="s">
        <v>426</v>
      </c>
      <c r="D115" s="6" t="s">
        <v>427</v>
      </c>
      <c r="E115" s="6" t="s">
        <v>42</v>
      </c>
      <c r="F115" s="6" t="s">
        <v>42</v>
      </c>
      <c r="G115" s="6" t="s">
        <v>42</v>
      </c>
      <c r="H115" s="6">
        <f t="shared" si="3"/>
        <v>1</v>
      </c>
      <c r="I115" s="2"/>
      <c r="J115" s="2"/>
      <c r="K115" s="2"/>
      <c r="L115" s="2"/>
    </row>
    <row r="116" spans="1:12" ht="75" customHeight="1">
      <c r="A116" s="10" t="s">
        <v>421</v>
      </c>
      <c r="B116" s="19" t="s">
        <v>404</v>
      </c>
      <c r="C116" s="5" t="s">
        <v>428</v>
      </c>
      <c r="D116" s="5" t="s">
        <v>429</v>
      </c>
      <c r="E116" s="5" t="s">
        <v>389</v>
      </c>
      <c r="F116" s="9" t="s">
        <v>47</v>
      </c>
      <c r="G116" s="9" t="s">
        <v>47</v>
      </c>
      <c r="H116" s="24">
        <f t="shared" si="3"/>
        <v>1</v>
      </c>
      <c r="I116" s="2"/>
      <c r="J116" s="2"/>
      <c r="K116" s="2"/>
      <c r="L116" s="2"/>
    </row>
    <row r="117" spans="1:12" ht="46" customHeight="1">
      <c r="A117" s="11" t="s">
        <v>430</v>
      </c>
      <c r="B117" s="19" t="s">
        <v>404</v>
      </c>
      <c r="C117" s="6" t="s">
        <v>431</v>
      </c>
      <c r="D117" s="6" t="s">
        <v>432</v>
      </c>
      <c r="E117" s="6" t="s">
        <v>433</v>
      </c>
      <c r="F117" s="6" t="s">
        <v>42</v>
      </c>
      <c r="G117" s="6" t="s">
        <v>42</v>
      </c>
      <c r="H117" s="6">
        <f t="shared" si="3"/>
        <v>1</v>
      </c>
      <c r="I117" s="2"/>
      <c r="J117" s="2"/>
      <c r="K117" s="2"/>
      <c r="L117" s="2"/>
    </row>
    <row r="118" spans="1:12" ht="46" customHeight="1">
      <c r="A118" s="10" t="s">
        <v>434</v>
      </c>
      <c r="B118" s="19" t="s">
        <v>404</v>
      </c>
      <c r="C118" s="5" t="s">
        <v>435</v>
      </c>
      <c r="D118" s="5" t="s">
        <v>436</v>
      </c>
      <c r="E118" s="5" t="s">
        <v>177</v>
      </c>
      <c r="F118" s="5" t="s">
        <v>56</v>
      </c>
      <c r="G118" s="5" t="s">
        <v>56</v>
      </c>
      <c r="H118" s="5">
        <f t="shared" si="3"/>
        <v>1</v>
      </c>
      <c r="I118" s="2"/>
      <c r="J118" s="2"/>
      <c r="K118" s="2"/>
      <c r="L118" s="2"/>
    </row>
    <row r="119" spans="1:12" ht="60" customHeight="1">
      <c r="A119" s="11" t="s">
        <v>437</v>
      </c>
      <c r="B119" s="20" t="s">
        <v>422</v>
      </c>
      <c r="C119" s="6" t="s">
        <v>438</v>
      </c>
      <c r="D119" s="6" t="s">
        <v>439</v>
      </c>
      <c r="E119" s="6" t="s">
        <v>17</v>
      </c>
      <c r="F119" s="6" t="s">
        <v>19</v>
      </c>
      <c r="G119" s="6" t="s">
        <v>19</v>
      </c>
      <c r="H119" s="6">
        <f t="shared" si="3"/>
        <v>1</v>
      </c>
      <c r="I119" s="2"/>
      <c r="J119" s="2"/>
      <c r="K119" s="2"/>
      <c r="L119" s="2"/>
    </row>
    <row r="120" spans="1:12" ht="75" customHeight="1">
      <c r="A120" s="10" t="s">
        <v>440</v>
      </c>
      <c r="B120" s="20" t="s">
        <v>422</v>
      </c>
      <c r="C120" s="5" t="s">
        <v>441</v>
      </c>
      <c r="D120" s="5" t="s">
        <v>442</v>
      </c>
      <c r="E120" s="5" t="s">
        <v>42</v>
      </c>
      <c r="F120" s="5" t="s">
        <v>42</v>
      </c>
      <c r="G120" s="5" t="s">
        <v>42</v>
      </c>
      <c r="H120" s="5">
        <f t="shared" si="3"/>
        <v>1</v>
      </c>
      <c r="I120" s="2"/>
      <c r="J120" s="2"/>
      <c r="K120" s="2"/>
      <c r="L120" s="2"/>
    </row>
    <row r="121" spans="1:12" ht="75" customHeight="1">
      <c r="A121" s="11" t="s">
        <v>440</v>
      </c>
      <c r="B121" s="20" t="s">
        <v>422</v>
      </c>
      <c r="C121" s="6" t="s">
        <v>443</v>
      </c>
      <c r="D121" s="6" t="s">
        <v>444</v>
      </c>
      <c r="E121" s="6" t="s">
        <v>35</v>
      </c>
      <c r="F121" s="6" t="s">
        <v>19</v>
      </c>
      <c r="G121" s="6" t="s">
        <v>19</v>
      </c>
      <c r="H121" s="6">
        <f t="shared" si="3"/>
        <v>1</v>
      </c>
      <c r="I121" s="2"/>
      <c r="J121" s="2"/>
      <c r="K121" s="2"/>
      <c r="L121" s="2"/>
    </row>
    <row r="122" spans="1:12" ht="75" customHeight="1">
      <c r="A122" s="10" t="s">
        <v>445</v>
      </c>
      <c r="B122" s="20" t="s">
        <v>422</v>
      </c>
      <c r="C122" s="5" t="s">
        <v>446</v>
      </c>
      <c r="D122" s="5" t="s">
        <v>447</v>
      </c>
      <c r="E122" s="5" t="s">
        <v>46</v>
      </c>
      <c r="F122" s="5" t="s">
        <v>19</v>
      </c>
      <c r="G122" s="5" t="s">
        <v>425</v>
      </c>
      <c r="H122" s="5">
        <f t="shared" si="3"/>
        <v>0</v>
      </c>
      <c r="I122" s="2"/>
      <c r="J122" s="2"/>
      <c r="K122" s="2"/>
      <c r="L122" s="2"/>
    </row>
    <row r="123" spans="1:12" ht="75" customHeight="1">
      <c r="A123" s="11" t="s">
        <v>445</v>
      </c>
      <c r="B123" s="20" t="s">
        <v>422</v>
      </c>
      <c r="C123" s="6" t="s">
        <v>448</v>
      </c>
      <c r="D123" s="6" t="s">
        <v>449</v>
      </c>
      <c r="E123" s="6" t="s">
        <v>225</v>
      </c>
      <c r="F123" s="8" t="s">
        <v>47</v>
      </c>
      <c r="G123" s="8" t="s">
        <v>47</v>
      </c>
      <c r="H123" s="25">
        <f t="shared" si="3"/>
        <v>1</v>
      </c>
      <c r="I123" s="2"/>
      <c r="J123" s="2"/>
      <c r="K123" s="2"/>
      <c r="L123" s="2"/>
    </row>
    <row r="124" spans="1:12" ht="60" customHeight="1">
      <c r="A124" s="10" t="s">
        <v>450</v>
      </c>
      <c r="B124" s="20" t="s">
        <v>422</v>
      </c>
      <c r="C124" s="5" t="s">
        <v>451</v>
      </c>
      <c r="D124" s="5" t="s">
        <v>452</v>
      </c>
      <c r="E124" s="5" t="s">
        <v>177</v>
      </c>
      <c r="F124" s="5" t="s">
        <v>56</v>
      </c>
      <c r="G124" s="5" t="s">
        <v>416</v>
      </c>
      <c r="H124" s="5">
        <f t="shared" si="3"/>
        <v>0</v>
      </c>
      <c r="I124" s="2"/>
      <c r="J124" s="2"/>
      <c r="K124" s="2"/>
      <c r="L124" s="2"/>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2</vt:i4>
      </vt:variant>
    </vt:vector>
  </HeadingPairs>
  <TitlesOfParts>
    <vt:vector size="2" baseType="lpstr">
      <vt:lpstr>Readme</vt:lpstr>
      <vt:lpstr>quotations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Eran Sadovski</dc:creator>
  <cp:lastModifiedBy>Eran Sadovski</cp:lastModifiedBy>
  <dcterms:created xsi:type="dcterms:W3CDTF">2026-10-24T05:11:27Z</dcterms:created>
  <dcterms:modified xsi:type="dcterms:W3CDTF">2026-10-24T06:20:30Z</dcterms:modified>
</cp:coreProperties>
</file>